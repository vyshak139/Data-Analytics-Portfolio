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/>
  <xr:revisionPtr revIDLastSave="0" documentId="8_{C050544A-299E-42C5-AC47-FB6F247D175F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Business Insights" sheetId="6" r:id="rId1"/>
    <sheet name="Dashboard" sheetId="5" r:id="rId2"/>
    <sheet name="Pivot Table" sheetId="4" r:id="rId3"/>
    <sheet name="Analysis " sheetId="2" r:id="rId4"/>
    <sheet name="Raw_Sales_Data" sheetId="1" r:id="rId5"/>
  </sheets>
  <definedNames>
    <definedName name="Slicer_Order_Date">#N/A</definedName>
  </definedNames>
  <calcPr calcId="191028"/>
  <pivotCaches>
    <pivotCache cacheId="142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5" l="1"/>
  <c r="B9" i="2"/>
  <c r="A16" i="5"/>
  <c r="E11" i="5"/>
  <c r="A11" i="5"/>
  <c r="E6" i="5"/>
  <c r="A6" i="5"/>
  <c r="B6" i="2"/>
  <c r="B49" i="2"/>
  <c r="B48" i="2"/>
  <c r="B47" i="2"/>
  <c r="B45" i="2"/>
  <c r="B44" i="2"/>
  <c r="B43" i="2"/>
  <c r="B41" i="2"/>
  <c r="B40" i="2"/>
  <c r="B39" i="2"/>
  <c r="B37" i="2"/>
  <c r="B36" i="2"/>
  <c r="B35" i="2"/>
  <c r="B32" i="2"/>
  <c r="B31" i="2"/>
  <c r="B30" i="2"/>
  <c r="B29" i="2"/>
  <c r="B26" i="2"/>
  <c r="B25" i="2"/>
  <c r="B24" i="2"/>
  <c r="B23" i="2"/>
  <c r="B20" i="2"/>
  <c r="B19" i="2"/>
  <c r="B18" i="2"/>
  <c r="B15" i="2"/>
  <c r="B14" i="2"/>
  <c r="B13" i="2"/>
  <c r="B12" i="2"/>
  <c r="B8" i="2"/>
  <c r="B7" i="2"/>
  <c r="B5" i="2"/>
  <c r="B4" i="2"/>
  <c r="B3" i="2"/>
  <c r="R7" i="1"/>
  <c r="R6" i="1"/>
  <c r="R5" i="1"/>
  <c r="R4" i="1"/>
  <c r="R3" i="1"/>
  <c r="R2" i="1"/>
  <c r="R1" i="1"/>
</calcChain>
</file>

<file path=xl/sharedStrings.xml><?xml version="1.0" encoding="utf-8"?>
<sst xmlns="http://schemas.openxmlformats.org/spreadsheetml/2006/main" count="6831" uniqueCount="576">
  <si>
    <t>Business Insights</t>
  </si>
  <si>
    <t>No</t>
  </si>
  <si>
    <t>Observation</t>
  </si>
  <si>
    <t xml:space="preserve">Recommendation </t>
  </si>
  <si>
    <t>South region generated the highest revenue.</t>
  </si>
  <si>
    <t>Increase marketing in the South region.</t>
  </si>
  <si>
    <t>Electronics is the most profitable category.</t>
  </si>
  <si>
    <t>Expand the electronics product range.</t>
  </si>
  <si>
    <t>Pen is the best-selling product.</t>
  </si>
  <si>
    <t>Maintain higher inventory levels.</t>
  </si>
  <si>
    <t>David achieved the highest sales.</t>
  </si>
  <si>
    <t>Recognize performance and share best practices.</t>
  </si>
  <si>
    <t>Card is the preferred payment method.</t>
  </si>
  <si>
    <t>Improve card payment promotions.</t>
  </si>
  <si>
    <t>Revenue peaks in certain months.</t>
  </si>
  <si>
    <t>Schedule promotions during those periods.</t>
  </si>
  <si>
    <t>Average revenue per order is healthy.</t>
  </si>
  <si>
    <t>Introduce bundles to increase order value.</t>
  </si>
  <si>
    <t>High-value orders drive revenue.</t>
  </si>
  <si>
    <t>Reward loyal high-value customers.</t>
  </si>
  <si>
    <t>Some orders are very small.</t>
  </si>
  <si>
    <t>Encourage larger purchases with offers.</t>
  </si>
  <si>
    <t>Overall business performance is positive.</t>
  </si>
  <si>
    <t>Continue monitoring trends and optimize strategy.</t>
  </si>
  <si>
    <t>The company shows strong sales performance with healthy revenue and profit. Electronics and the South region contribute significantly to business growth. Card payments are the preferred payment method, and high-performing products and salespeople should be supported with targeted promotions and inventory planning.</t>
  </si>
  <si>
    <t>RETAIL SALES DASHBOARD</t>
  </si>
  <si>
    <t xml:space="preserve">Total Revenue  </t>
  </si>
  <si>
    <t>Total Profit</t>
  </si>
  <si>
    <t>Average Revenue</t>
  </si>
  <si>
    <t xml:space="preserve">Average Profit </t>
  </si>
  <si>
    <t>Highest Revenue</t>
  </si>
  <si>
    <t>Total Orders</t>
  </si>
  <si>
    <t>Region</t>
  </si>
  <si>
    <t>Sum of Revenue</t>
  </si>
  <si>
    <t>Product</t>
  </si>
  <si>
    <t>Payment_Method</t>
  </si>
  <si>
    <t>East</t>
  </si>
  <si>
    <t>Cabinet</t>
  </si>
  <si>
    <t>Bank Transfer</t>
  </si>
  <si>
    <t>North</t>
  </si>
  <si>
    <t>Chair</t>
  </si>
  <si>
    <t>Card</t>
  </si>
  <si>
    <t>South</t>
  </si>
  <si>
    <t>Desk</t>
  </si>
  <si>
    <t>Cash</t>
  </si>
  <si>
    <t>West</t>
  </si>
  <si>
    <t>Marker</t>
  </si>
  <si>
    <t>UPI</t>
  </si>
  <si>
    <t>Grand Total</t>
  </si>
  <si>
    <t>Monitor</t>
  </si>
  <si>
    <t>Mouse</t>
  </si>
  <si>
    <t>Pen</t>
  </si>
  <si>
    <t>Stapler</t>
  </si>
  <si>
    <t>Category</t>
  </si>
  <si>
    <t>Sum of Profit</t>
  </si>
  <si>
    <t>Table</t>
  </si>
  <si>
    <t>Electronics</t>
  </si>
  <si>
    <t>Tablet</t>
  </si>
  <si>
    <t>Furniture</t>
  </si>
  <si>
    <t>Customer_Rating</t>
  </si>
  <si>
    <t>Sum of Order_ID</t>
  </si>
  <si>
    <t>Office</t>
  </si>
  <si>
    <t>Salesperson</t>
  </si>
  <si>
    <t>Aisha</t>
  </si>
  <si>
    <t>Arun</t>
  </si>
  <si>
    <t>Order_Date</t>
  </si>
  <si>
    <t>David</t>
  </si>
  <si>
    <t>2024-01-01</t>
  </si>
  <si>
    <t>John</t>
  </si>
  <si>
    <t>2024-01-02</t>
  </si>
  <si>
    <t>Meera</t>
  </si>
  <si>
    <t>2024-01-07</t>
  </si>
  <si>
    <t>Priya</t>
  </si>
  <si>
    <t>2025-01-01</t>
  </si>
  <si>
    <t>Rahul</t>
  </si>
  <si>
    <t>2025-01-02</t>
  </si>
  <si>
    <t>BUSINESS SUMMARY</t>
  </si>
  <si>
    <t xml:space="preserve">Total Revenue </t>
  </si>
  <si>
    <t xml:space="preserve">Average Revenue </t>
  </si>
  <si>
    <t xml:space="preserve">Average profit </t>
  </si>
  <si>
    <t xml:space="preserve">Hightest Revenue </t>
  </si>
  <si>
    <t>Lowest Revenue</t>
  </si>
  <si>
    <t xml:space="preserve">Total Orders </t>
  </si>
  <si>
    <t>REVENUE BY REGION</t>
  </si>
  <si>
    <t xml:space="preserve">East </t>
  </si>
  <si>
    <t xml:space="preserve">REVENUE BY CATEGORY </t>
  </si>
  <si>
    <t xml:space="preserve">Electronics </t>
  </si>
  <si>
    <t xml:space="preserve">Furniture </t>
  </si>
  <si>
    <t>ORDERS BY REGION</t>
  </si>
  <si>
    <t xml:space="preserve">AVERAGE REVENUE BY REGION </t>
  </si>
  <si>
    <t>North Electronics Revenue</t>
  </si>
  <si>
    <t>North Furniture Revenue</t>
  </si>
  <si>
    <t xml:space="preserve">North Office Revenue </t>
  </si>
  <si>
    <t xml:space="preserve">South Electronics Revenue </t>
  </si>
  <si>
    <t>South Furniture Revenue</t>
  </si>
  <si>
    <t xml:space="preserve">South Office Revenue </t>
  </si>
  <si>
    <t xml:space="preserve">East Electronics Revenue </t>
  </si>
  <si>
    <t xml:space="preserve">East Furniture Revenue </t>
  </si>
  <si>
    <t xml:space="preserve">East Office Revenue </t>
  </si>
  <si>
    <t xml:space="preserve">West Electronics Revenue </t>
  </si>
  <si>
    <t xml:space="preserve">West Furniture Revenue </t>
  </si>
  <si>
    <t xml:space="preserve">West Office Revenue </t>
  </si>
  <si>
    <t>Order_ID</t>
  </si>
  <si>
    <t>Customer_Name</t>
  </si>
  <si>
    <t>Quantity</t>
  </si>
  <si>
    <t>Unit_Price</t>
  </si>
  <si>
    <t>Discount_%</t>
  </si>
  <si>
    <t>Revenue</t>
  </si>
  <si>
    <t>Cost</t>
  </si>
  <si>
    <t>Profit</t>
  </si>
  <si>
    <t xml:space="preserve">total profit </t>
  </si>
  <si>
    <t>Vivek</t>
  </si>
  <si>
    <t>total revenue</t>
  </si>
  <si>
    <t>2025-03-26</t>
  </si>
  <si>
    <t>average revenue</t>
  </si>
  <si>
    <t>2024-12-22</t>
  </si>
  <si>
    <t>Amit</t>
  </si>
  <si>
    <t>Notebook</t>
  </si>
  <si>
    <t>average profit</t>
  </si>
  <si>
    <t>2025-04-29</t>
  </si>
  <si>
    <t>Anjali</t>
  </si>
  <si>
    <t>Maximum Revenue</t>
  </si>
  <si>
    <t>2025-04-03</t>
  </si>
  <si>
    <t>Minimum Revenue</t>
  </si>
  <si>
    <t>2024-03-05</t>
  </si>
  <si>
    <t>Sara</t>
  </si>
  <si>
    <t>2024-09-17</t>
  </si>
  <si>
    <t>2024-02-20</t>
  </si>
  <si>
    <t>Riya</t>
  </si>
  <si>
    <t>2025-01-06</t>
  </si>
  <si>
    <t>Neha</t>
  </si>
  <si>
    <t>Laptop</t>
  </si>
  <si>
    <t>2024-12-26</t>
  </si>
  <si>
    <t>2024-04-21</t>
  </si>
  <si>
    <t>2025-02-02</t>
  </si>
  <si>
    <t>Mohit</t>
  </si>
  <si>
    <t>2025-03-08</t>
  </si>
  <si>
    <t>Sneha</t>
  </si>
  <si>
    <t>2024-11-11</t>
  </si>
  <si>
    <t>2024-08-24</t>
  </si>
  <si>
    <t>2025-05-24</t>
  </si>
  <si>
    <t>Nikhil</t>
  </si>
  <si>
    <t>2024-08-19</t>
  </si>
  <si>
    <t>Paper</t>
  </si>
  <si>
    <t>2024-05-11</t>
  </si>
  <si>
    <t>2024-05-02</t>
  </si>
  <si>
    <t>2024-11-14</t>
  </si>
  <si>
    <t>Kiran</t>
  </si>
  <si>
    <t>2024-11-12</t>
  </si>
  <si>
    <t>2024-06-11</t>
  </si>
  <si>
    <t>Keyboard</t>
  </si>
  <si>
    <t>2025-02-16</t>
  </si>
  <si>
    <t>2025-05-11</t>
  </si>
  <si>
    <t>2024-06-04</t>
  </si>
  <si>
    <t>2025-05-02</t>
  </si>
  <si>
    <t>2024-05-07</t>
  </si>
  <si>
    <t>2024-12-24</t>
  </si>
  <si>
    <t>2025-06-22</t>
  </si>
  <si>
    <t>2024-10-24</t>
  </si>
  <si>
    <t>2024-03-14</t>
  </si>
  <si>
    <t>2024-11-18</t>
  </si>
  <si>
    <t>2024-12-25</t>
  </si>
  <si>
    <t>2024-09-03</t>
  </si>
  <si>
    <t>2024-10-25</t>
  </si>
  <si>
    <t>2024-07-01</t>
  </si>
  <si>
    <t>2024-02-10</t>
  </si>
  <si>
    <t>2025-03-19</t>
  </si>
  <si>
    <t>2024-09-15</t>
  </si>
  <si>
    <t>2024-01-23</t>
  </si>
  <si>
    <t>2024-12-27</t>
  </si>
  <si>
    <t>2025-06-07</t>
  </si>
  <si>
    <t>2025-03-06</t>
  </si>
  <si>
    <t>2024-12-15</t>
  </si>
  <si>
    <t>2025-03-27</t>
  </si>
  <si>
    <t>2024-03-18</t>
  </si>
  <si>
    <t>2024-10-14</t>
  </si>
  <si>
    <t>2024-02-28</t>
  </si>
  <si>
    <t>2024-01-05</t>
  </si>
  <si>
    <t>2024-05-21</t>
  </si>
  <si>
    <t>2025-05-15</t>
  </si>
  <si>
    <t>2025-05-30</t>
  </si>
  <si>
    <t>2024-03-13</t>
  </si>
  <si>
    <t>2024-03-26</t>
  </si>
  <si>
    <t>2024-02-12</t>
  </si>
  <si>
    <t>2025-05-13</t>
  </si>
  <si>
    <t>2024-05-22</t>
  </si>
  <si>
    <t>2024-11-20</t>
  </si>
  <si>
    <t>2024-11-10</t>
  </si>
  <si>
    <t>2024-07-22</t>
  </si>
  <si>
    <t>2024-08-10</t>
  </si>
  <si>
    <t>2025-06-21</t>
  </si>
  <si>
    <t>2024-05-19</t>
  </si>
  <si>
    <t>2024-08-22</t>
  </si>
  <si>
    <t>2024-07-31</t>
  </si>
  <si>
    <t>2025-03-13</t>
  </si>
  <si>
    <t>2024-02-05</t>
  </si>
  <si>
    <t>2024-01-18</t>
  </si>
  <si>
    <t>2024-05-05</t>
  </si>
  <si>
    <t>2024-05-17</t>
  </si>
  <si>
    <t>2024-07-03</t>
  </si>
  <si>
    <t>2025-04-05</t>
  </si>
  <si>
    <t>2025-02-06</t>
  </si>
  <si>
    <t>2025-02-01</t>
  </si>
  <si>
    <t>2024-08-16</t>
  </si>
  <si>
    <t>2024-12-07</t>
  </si>
  <si>
    <t>2024-12-29</t>
  </si>
  <si>
    <t>2025-01-24</t>
  </si>
  <si>
    <t>2025-02-11</t>
  </si>
  <si>
    <t>2024-11-08</t>
  </si>
  <si>
    <t>2024-07-15</t>
  </si>
  <si>
    <t>2024-05-28</t>
  </si>
  <si>
    <t>2024-01-28</t>
  </si>
  <si>
    <t>2025-04-19</t>
  </si>
  <si>
    <t>2025-03-23</t>
  </si>
  <si>
    <t>2025-01-10</t>
  </si>
  <si>
    <t>2024-04-20</t>
  </si>
  <si>
    <t>2024-09-26</t>
  </si>
  <si>
    <t>2024-09-16</t>
  </si>
  <si>
    <t>2024-02-22</t>
  </si>
  <si>
    <t>2024-07-08</t>
  </si>
  <si>
    <t>2024-03-19</t>
  </si>
  <si>
    <t>2024-08-07</t>
  </si>
  <si>
    <t>2025-05-01</t>
  </si>
  <si>
    <t>2025-01-17</t>
  </si>
  <si>
    <t>2025-01-18</t>
  </si>
  <si>
    <t>2024-04-15</t>
  </si>
  <si>
    <t>2024-03-08</t>
  </si>
  <si>
    <t>2024-07-27</t>
  </si>
  <si>
    <t>2024-12-30</t>
  </si>
  <si>
    <t>2025-06-06</t>
  </si>
  <si>
    <t>2025-01-22</t>
  </si>
  <si>
    <t>2024-12-04</t>
  </si>
  <si>
    <t>2024-07-10</t>
  </si>
  <si>
    <t>2025-04-06</t>
  </si>
  <si>
    <t>2025-05-31</t>
  </si>
  <si>
    <t>2025-04-07</t>
  </si>
  <si>
    <t>2024-11-17</t>
  </si>
  <si>
    <t>2025-01-16</t>
  </si>
  <si>
    <t>2024-05-29</t>
  </si>
  <si>
    <t>2024-02-23</t>
  </si>
  <si>
    <t>2024-12-14</t>
  </si>
  <si>
    <t>2024-03-22</t>
  </si>
  <si>
    <t>2025-05-03</t>
  </si>
  <si>
    <t>2024-07-14</t>
  </si>
  <si>
    <t>2024-03-10</t>
  </si>
  <si>
    <t>2024-11-26</t>
  </si>
  <si>
    <t>2024-03-27</t>
  </si>
  <si>
    <t>2025-03-16</t>
  </si>
  <si>
    <t>2025-02-27</t>
  </si>
  <si>
    <t>2024-09-18</t>
  </si>
  <si>
    <t>2025-01-11</t>
  </si>
  <si>
    <t>2025-02-10</t>
  </si>
  <si>
    <t>2025-02-13</t>
  </si>
  <si>
    <t>2024-06-09</t>
  </si>
  <si>
    <t>2024-08-06</t>
  </si>
  <si>
    <t>2024-09-02</t>
  </si>
  <si>
    <t>2024-04-06</t>
  </si>
  <si>
    <t>2025-03-30</t>
  </si>
  <si>
    <t>2025-03-18</t>
  </si>
  <si>
    <t>2025-03-03</t>
  </si>
  <si>
    <t>2025-04-18</t>
  </si>
  <si>
    <t>2024-05-12</t>
  </si>
  <si>
    <t>2024-06-21</t>
  </si>
  <si>
    <t>2024-02-17</t>
  </si>
  <si>
    <t>2024-04-05</t>
  </si>
  <si>
    <t>2024-09-28</t>
  </si>
  <si>
    <t>2024-04-13</t>
  </si>
  <si>
    <t>2025-06-13</t>
  </si>
  <si>
    <t>2024-09-21</t>
  </si>
  <si>
    <t>2024-05-16</t>
  </si>
  <si>
    <t>2024-07-17</t>
  </si>
  <si>
    <t>2025-03-05</t>
  </si>
  <si>
    <t>2024-06-16</t>
  </si>
  <si>
    <t>2024-04-01</t>
  </si>
  <si>
    <t>2025-04-04</t>
  </si>
  <si>
    <t>2024-04-29</t>
  </si>
  <si>
    <t>2025-01-08</t>
  </si>
  <si>
    <t>2024-12-23</t>
  </si>
  <si>
    <t>2024-01-17</t>
  </si>
  <si>
    <t>2024-05-26</t>
  </si>
  <si>
    <t>2024-10-05</t>
  </si>
  <si>
    <t>2024-07-21</t>
  </si>
  <si>
    <t>2024-07-29</t>
  </si>
  <si>
    <t>2024-07-07</t>
  </si>
  <si>
    <t>2024-03-23</t>
  </si>
  <si>
    <t>2025-05-28</t>
  </si>
  <si>
    <t>2025-05-05</t>
  </si>
  <si>
    <t>2024-02-14</t>
  </si>
  <si>
    <t>2024-04-04</t>
  </si>
  <si>
    <t>2024-02-06</t>
  </si>
  <si>
    <t>2025-05-04</t>
  </si>
  <si>
    <t>2024-11-30</t>
  </si>
  <si>
    <t>2024-06-12</t>
  </si>
  <si>
    <t>2024-02-11</t>
  </si>
  <si>
    <t>2024-07-06</t>
  </si>
  <si>
    <t>2024-04-07</t>
  </si>
  <si>
    <t>2024-11-19</t>
  </si>
  <si>
    <t>2024-01-21</t>
  </si>
  <si>
    <t>2024-06-15</t>
  </si>
  <si>
    <t>2024-06-28</t>
  </si>
  <si>
    <t>2025-03-09</t>
  </si>
  <si>
    <t>2024-05-24</t>
  </si>
  <si>
    <t>2025-03-14</t>
  </si>
  <si>
    <t>2024-04-12</t>
  </si>
  <si>
    <t>2024-03-31</t>
  </si>
  <si>
    <t>2024-12-03</t>
  </si>
  <si>
    <t>2024-09-05</t>
  </si>
  <si>
    <t>2024-06-13</t>
  </si>
  <si>
    <t>2024-10-18</t>
  </si>
  <si>
    <t>2025-05-19</t>
  </si>
  <si>
    <t>2024-10-11</t>
  </si>
  <si>
    <t>2024-09-22</t>
  </si>
  <si>
    <t>2024-12-17</t>
  </si>
  <si>
    <t>2024-11-22</t>
  </si>
  <si>
    <t>2025-04-10</t>
  </si>
  <si>
    <t>2024-04-17</t>
  </si>
  <si>
    <t>2024-01-20</t>
  </si>
  <si>
    <t>2024-05-08</t>
  </si>
  <si>
    <t>2025-01-09</t>
  </si>
  <si>
    <t>2024-02-08</t>
  </si>
  <si>
    <t>2024-06-23</t>
  </si>
  <si>
    <t>2024-05-18</t>
  </si>
  <si>
    <t>2025-06-05</t>
  </si>
  <si>
    <t>2025-04-21</t>
  </si>
  <si>
    <t>2025-05-17</t>
  </si>
  <si>
    <t>2024-08-13</t>
  </si>
  <si>
    <t>2024-06-25</t>
  </si>
  <si>
    <t>2024-08-01</t>
  </si>
  <si>
    <t>2024-09-27</t>
  </si>
  <si>
    <t>2024-07-20</t>
  </si>
  <si>
    <t>2024-10-12</t>
  </si>
  <si>
    <t>2025-05-26</t>
  </si>
  <si>
    <t>2025-05-12</t>
  </si>
  <si>
    <t>2024-04-28</t>
  </si>
  <si>
    <t>2024-10-09</t>
  </si>
  <si>
    <t>2024-06-27</t>
  </si>
  <si>
    <t>2024-12-19</t>
  </si>
  <si>
    <t>2024-09-19</t>
  </si>
  <si>
    <t>2024-10-20</t>
  </si>
  <si>
    <t>2025-06-20</t>
  </si>
  <si>
    <t>2024-11-04</t>
  </si>
  <si>
    <t>2024-07-05</t>
  </si>
  <si>
    <t>2025-01-07</t>
  </si>
  <si>
    <t>2025-06-10</t>
  </si>
  <si>
    <t>2024-03-07</t>
  </si>
  <si>
    <t>2024-12-01</t>
  </si>
  <si>
    <t>2025-06-17</t>
  </si>
  <si>
    <t>2024-11-05</t>
  </si>
  <si>
    <t>2024-04-03</t>
  </si>
  <si>
    <t>2024-11-25</t>
  </si>
  <si>
    <t>2025-01-25</t>
  </si>
  <si>
    <t>2024-08-08</t>
  </si>
  <si>
    <t>2024-10-16</t>
  </si>
  <si>
    <t>2025-03-15</t>
  </si>
  <si>
    <t>2024-08-05</t>
  </si>
  <si>
    <t>2024-01-11</t>
  </si>
  <si>
    <t>2025-01-19</t>
  </si>
  <si>
    <t>2024-08-11</t>
  </si>
  <si>
    <t>2024-01-24</t>
  </si>
  <si>
    <t>2024-03-17</t>
  </si>
  <si>
    <t>2024-10-29</t>
  </si>
  <si>
    <t>2025-01-05</t>
  </si>
  <si>
    <t>2024-04-10</t>
  </si>
  <si>
    <t>2024-12-20</t>
  </si>
  <si>
    <t>2024-02-25</t>
  </si>
  <si>
    <t>2024-12-31</t>
  </si>
  <si>
    <t>2024-05-31</t>
  </si>
  <si>
    <t>2024-07-09</t>
  </si>
  <si>
    <t>2024-10-02</t>
  </si>
  <si>
    <t>2025-04-20</t>
  </si>
  <si>
    <t>2025-03-31</t>
  </si>
  <si>
    <t>2025-06-01</t>
  </si>
  <si>
    <t>2024-09-24</t>
  </si>
  <si>
    <t>2024-03-06</t>
  </si>
  <si>
    <t>2024-07-12</t>
  </si>
  <si>
    <t>2024-07-19</t>
  </si>
  <si>
    <t>2025-02-04</t>
  </si>
  <si>
    <t>2024-10-04</t>
  </si>
  <si>
    <t>2024-11-28</t>
  </si>
  <si>
    <t>2024-10-17</t>
  </si>
  <si>
    <t>2025-05-25</t>
  </si>
  <si>
    <t>2025-06-11</t>
  </si>
  <si>
    <t>2025-03-20</t>
  </si>
  <si>
    <t>2024-01-04</t>
  </si>
  <si>
    <t>2025-01-26</t>
  </si>
  <si>
    <t>2025-04-30</t>
  </si>
  <si>
    <t>2025-04-16</t>
  </si>
  <si>
    <t>2024-10-26</t>
  </si>
  <si>
    <t>2025-01-13</t>
  </si>
  <si>
    <t>2025-03-25</t>
  </si>
  <si>
    <t>2024-04-18</t>
  </si>
  <si>
    <t>2024-12-06</t>
  </si>
  <si>
    <t>2025-04-08</t>
  </si>
  <si>
    <t>2025-06-08</t>
  </si>
  <si>
    <t>2024-03-21</t>
  </si>
  <si>
    <t>2024-10-21</t>
  </si>
  <si>
    <t>2024-07-04</t>
  </si>
  <si>
    <t>2024-05-30</t>
  </si>
  <si>
    <t>2024-09-09</t>
  </si>
  <si>
    <t>2025-06-03</t>
  </si>
  <si>
    <t>2024-12-09</t>
  </si>
  <si>
    <t>2024-06-22</t>
  </si>
  <si>
    <t>2024-09-20</t>
  </si>
  <si>
    <t>2025-02-14</t>
  </si>
  <si>
    <t>2025-01-27</t>
  </si>
  <si>
    <t>2025-05-09</t>
  </si>
  <si>
    <t>2025-05-10</t>
  </si>
  <si>
    <t>2024-12-16</t>
  </si>
  <si>
    <t>2025-02-17</t>
  </si>
  <si>
    <t>2025-06-15</t>
  </si>
  <si>
    <t>2024-03-01</t>
  </si>
  <si>
    <t>2024-01-13</t>
  </si>
  <si>
    <t>2024-06-30</t>
  </si>
  <si>
    <t>2024-05-25</t>
  </si>
  <si>
    <t>2025-02-28</t>
  </si>
  <si>
    <t>2025-05-20</t>
  </si>
  <si>
    <t>2024-01-31</t>
  </si>
  <si>
    <t>2025-03-22</t>
  </si>
  <si>
    <t>2025-03-21</t>
  </si>
  <si>
    <t>2025-04-09</t>
  </si>
  <si>
    <t>2025-05-07</t>
  </si>
  <si>
    <t>2025-03-07</t>
  </si>
  <si>
    <t>2025-06-16</t>
  </si>
  <si>
    <t>2025-05-23</t>
  </si>
  <si>
    <t>2024-08-15</t>
  </si>
  <si>
    <t>2025-02-08</t>
  </si>
  <si>
    <t>2024-06-07</t>
  </si>
  <si>
    <t>2024-02-13</t>
  </si>
  <si>
    <t>2025-05-14</t>
  </si>
  <si>
    <t>2024-10-03</t>
  </si>
  <si>
    <t>2024-06-17</t>
  </si>
  <si>
    <t>2024-11-24</t>
  </si>
  <si>
    <t>2025-04-28</t>
  </si>
  <si>
    <t>2024-06-18</t>
  </si>
  <si>
    <t>2025-03-02</t>
  </si>
  <si>
    <t>2024-06-06</t>
  </si>
  <si>
    <t>2025-04-23</t>
  </si>
  <si>
    <t>2024-08-18</t>
  </si>
  <si>
    <t>2024-11-15</t>
  </si>
  <si>
    <t>2024-04-09</t>
  </si>
  <si>
    <t>2025-01-20</t>
  </si>
  <si>
    <t>2025-01-12</t>
  </si>
  <si>
    <t>2024-11-23</t>
  </si>
  <si>
    <t>2024-02-16</t>
  </si>
  <si>
    <t>2025-04-22</t>
  </si>
  <si>
    <t>2024-04-08</t>
  </si>
  <si>
    <t>2024-04-11</t>
  </si>
  <si>
    <t>2025-03-29</t>
  </si>
  <si>
    <t>2025-03-17</t>
  </si>
  <si>
    <t>2024-01-06</t>
  </si>
  <si>
    <t>2024-11-09</t>
  </si>
  <si>
    <t>2025-06-19</t>
  </si>
  <si>
    <t>2024-11-06</t>
  </si>
  <si>
    <t>2024-05-14</t>
  </si>
  <si>
    <t>2024-02-01</t>
  </si>
  <si>
    <t>2025-04-02</t>
  </si>
  <si>
    <t>2024-08-23</t>
  </si>
  <si>
    <t>2024-12-28</t>
  </si>
  <si>
    <t>2025-03-10</t>
  </si>
  <si>
    <t>2025-06-12</t>
  </si>
  <si>
    <t>2024-03-24</t>
  </si>
  <si>
    <t>2025-02-05</t>
  </si>
  <si>
    <t>2024-04-30</t>
  </si>
  <si>
    <t>2024-07-28</t>
  </si>
  <si>
    <t>2024-02-07</t>
  </si>
  <si>
    <t>2024-08-04</t>
  </si>
  <si>
    <t>2024-02-29</t>
  </si>
  <si>
    <t>2024-01-03</t>
  </si>
  <si>
    <t>2024-10-10</t>
  </si>
  <si>
    <t>2024-06-24</t>
  </si>
  <si>
    <t>2024-06-03</t>
  </si>
  <si>
    <t>2024-02-04</t>
  </si>
  <si>
    <t>2025-02-15</t>
  </si>
  <si>
    <t>2024-02-18</t>
  </si>
  <si>
    <t>2025-05-18</t>
  </si>
  <si>
    <t>2025-04-25</t>
  </si>
  <si>
    <t>2024-04-14</t>
  </si>
  <si>
    <t>2024-10-01</t>
  </si>
  <si>
    <t>2024-09-25</t>
  </si>
  <si>
    <t>2024-10-31</t>
  </si>
  <si>
    <t>2025-01-29</t>
  </si>
  <si>
    <t>2024-09-13</t>
  </si>
  <si>
    <t>2024-10-23</t>
  </si>
  <si>
    <t>2025-02-22</t>
  </si>
  <si>
    <t>2025-06-14</t>
  </si>
  <si>
    <t>2024-10-28</t>
  </si>
  <si>
    <t>2025-01-30</t>
  </si>
  <si>
    <t>2025-05-27</t>
  </si>
  <si>
    <t>2025-02-20</t>
  </si>
  <si>
    <t>2024-01-16</t>
  </si>
  <si>
    <t>2025-03-04</t>
  </si>
  <si>
    <t>2024-04-19</t>
  </si>
  <si>
    <t>2024-12-21</t>
  </si>
  <si>
    <t>2025-02-12</t>
  </si>
  <si>
    <t>2024-03-29</t>
  </si>
  <si>
    <t>2025-03-11</t>
  </si>
  <si>
    <t>2025-05-06</t>
  </si>
  <si>
    <t>2024-08-09</t>
  </si>
  <si>
    <t>2024-01-10</t>
  </si>
  <si>
    <t>2024-03-28</t>
  </si>
  <si>
    <t>2024-01-12</t>
  </si>
  <si>
    <t>2024-10-22</t>
  </si>
  <si>
    <t>2024-07-23</t>
  </si>
  <si>
    <t>2025-06-04</t>
  </si>
  <si>
    <t>2024-05-15</t>
  </si>
  <si>
    <t>2024-07-11</t>
  </si>
  <si>
    <t>2024-05-06</t>
  </si>
  <si>
    <t>2025-01-03</t>
  </si>
  <si>
    <t>2024-07-26</t>
  </si>
  <si>
    <t>2024-10-08</t>
  </si>
  <si>
    <t>2024-02-26</t>
  </si>
  <si>
    <t>2025-03-24</t>
  </si>
  <si>
    <t>2025-05-29</t>
  </si>
  <si>
    <t>2025-04-12</t>
  </si>
  <si>
    <t>2025-06-02</t>
  </si>
  <si>
    <t>2024-10-15</t>
  </si>
  <si>
    <t>2024-11-21</t>
  </si>
  <si>
    <t>2025-04-17</t>
  </si>
  <si>
    <t>2024-03-16</t>
  </si>
  <si>
    <t>2024-11-03</t>
  </si>
  <si>
    <t>2024-09-06</t>
  </si>
  <si>
    <t>2025-01-31</t>
  </si>
  <si>
    <t>2024-01-15</t>
  </si>
  <si>
    <t>2025-04-14</t>
  </si>
  <si>
    <t>2024-11-02</t>
  </si>
  <si>
    <t>2025-02-25</t>
  </si>
  <si>
    <t>2025-04-15</t>
  </si>
  <si>
    <t>2025-05-16</t>
  </si>
  <si>
    <t>2024-08-12</t>
  </si>
  <si>
    <t>2024-09-04</t>
  </si>
  <si>
    <t>2025-05-22</t>
  </si>
  <si>
    <t>2025-02-09</t>
  </si>
  <si>
    <t>2024-06-10</t>
  </si>
  <si>
    <t>2024-06-08</t>
  </si>
  <si>
    <t>2024-04-24</t>
  </si>
  <si>
    <t>2024-01-08</t>
  </si>
  <si>
    <t>2025-04-11</t>
  </si>
  <si>
    <t>2024-09-23</t>
  </si>
  <si>
    <t>2025-04-01</t>
  </si>
  <si>
    <t>2024-06-20</t>
  </si>
  <si>
    <t>2025-02-24</t>
  </si>
  <si>
    <t>2024-06-29</t>
  </si>
  <si>
    <t>2024-05-09</t>
  </si>
  <si>
    <t>2025-01-28</t>
  </si>
  <si>
    <t>2024-10-27</t>
  </si>
  <si>
    <t>2024-03-15</t>
  </si>
  <si>
    <t>2025-01-04</t>
  </si>
  <si>
    <t>2024-03-30</t>
  </si>
  <si>
    <t>2024-08-28</t>
  </si>
  <si>
    <t>2024-08-30</t>
  </si>
  <si>
    <t>2024-07-30</t>
  </si>
  <si>
    <t>2024-02-03</t>
  </si>
  <si>
    <t>2024-07-02</t>
  </si>
  <si>
    <t>2024-01-09</t>
  </si>
  <si>
    <t>2024-08-17</t>
  </si>
  <si>
    <t>2025-02-23</t>
  </si>
  <si>
    <t>2025-05-08</t>
  </si>
  <si>
    <t>2024-02-09</t>
  </si>
  <si>
    <t>2024-06-26</t>
  </si>
  <si>
    <t>2024-05-03</t>
  </si>
  <si>
    <t>2025-04-13</t>
  </si>
  <si>
    <t>2025-04-27</t>
  </si>
  <si>
    <t>2024-02-19</t>
  </si>
  <si>
    <t>2024-06-05</t>
  </si>
  <si>
    <t>2024-09-01</t>
  </si>
  <si>
    <t>2025-03-28</t>
  </si>
  <si>
    <t>2024-08-25</t>
  </si>
  <si>
    <t>2024-01-27</t>
  </si>
  <si>
    <t>2024-02-21</t>
  </si>
  <si>
    <t>2025-03-01</t>
  </si>
  <si>
    <t>2024-01-14</t>
  </si>
  <si>
    <t>2025-06-24</t>
  </si>
  <si>
    <t>2025-06-18</t>
  </si>
  <si>
    <t>2024-05-13</t>
  </si>
  <si>
    <t>2024-03-09</t>
  </si>
  <si>
    <t>2024-09-10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</si>
</sst>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0">
    <font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charset val="1"/>
    </font>
    <font>
      <sz val="16"/>
      <color rgb="FF000000"/>
      <name val="Calibri"/>
    </font>
    <font>
      <b/>
      <sz val="11"/>
      <color theme="1"/>
      <name val="Calibri"/>
      <family val="2"/>
      <scheme val="minor"/>
    </font>
    <font>
      <b/>
      <sz val="24"/>
      <color rgb="FF1F497D"/>
      <name val="Cambria"/>
      <scheme val="major"/>
    </font>
    <font>
      <sz val="24"/>
      <color theme="1"/>
      <name val="Cambria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44" fontId="0" fillId="0" borderId="0" xfId="0" applyNumberFormat="1" applyAlignment="1">
      <alignment wrapText="1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 vertical="top"/>
    </xf>
    <xf numFmtId="164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0" fillId="3" borderId="0" xfId="0" applyFill="1"/>
    <xf numFmtId="0" fontId="0" fillId="0" borderId="0" xfId="0" pivotButton="1" applyAlignment="1">
      <alignment wrapText="1"/>
    </xf>
    <xf numFmtId="16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/>
    </xf>
    <xf numFmtId="164" fontId="0" fillId="3" borderId="0" xfId="0" applyNumberFormat="1" applyFill="1"/>
    <xf numFmtId="0" fontId="0" fillId="3" borderId="0" xfId="0" applyFill="1" applyAlignment="1">
      <alignment wrapText="1"/>
    </xf>
    <xf numFmtId="0" fontId="0" fillId="0" borderId="0" xfId="0" applyAlignment="1">
      <alignment horizontal="left" wrapText="1"/>
    </xf>
    <xf numFmtId="43" fontId="2" fillId="0" borderId="0" xfId="0" applyNumberFormat="1" applyFont="1" applyAlignment="1">
      <alignment wrapText="1"/>
    </xf>
    <xf numFmtId="0" fontId="4" fillId="2" borderId="1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</cellXfs>
  <cellStyles count="1">
    <cellStyle name="Normal" xfId="0" builtinId="0"/>
  </cellStyles>
  <dxfs count="15">
    <dxf>
      <alignment horizontal="center"/>
    </dxf>
    <dxf>
      <alignment horizontal="center"/>
    </dxf>
    <dxf>
      <numFmt numFmtId="164" formatCode="&quot;$&quot;#,##0.00"/>
      <alignment horizontal="center"/>
    </dxf>
    <dxf>
      <numFmt numFmtId="164" formatCode="&quot;$&quot;#,##0.00"/>
      <alignment horizontal="center"/>
    </dxf>
    <dxf>
      <numFmt numFmtId="164" formatCode="&quot;$&quot;#,##0.00"/>
      <alignment horizontal="center"/>
    </dxf>
    <dxf>
      <numFmt numFmtId="0" formatCode="General"/>
      <alignment horizontal="center"/>
    </dxf>
    <dxf>
      <numFmt numFmtId="164" formatCode="&quot;$&quot;#,##0.00"/>
      <alignment horizontal="center"/>
    </dxf>
    <dxf>
      <alignment horizontal="center"/>
    </dxf>
    <dxf>
      <alignment horizontal="center"/>
    </dxf>
    <dxf>
      <alignment horizontal="center" relativeIndent="-1"/>
    </dxf>
    <dxf>
      <alignment horizontal="center"/>
    </dxf>
    <dxf>
      <alignment horizontal="center"/>
    </dxf>
    <dxf>
      <alignment horizontal="center"/>
    </dxf>
    <dxf>
      <numFmt numFmtId="19" formatCode="m/d/yyyy"/>
      <alignment horizontal="center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Table!Revenue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 </a:t>
            </a:r>
          </a:p>
        </c:rich>
      </c:tx>
      <c:layout>
        <c:manualLayout>
          <c:xMode val="edge"/>
          <c:yMode val="edge"/>
          <c:x val="0.29357638888888887"/>
          <c:y val="3.0303030303030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Table'!$B$2:$B$6</c:f>
              <c:numCache>
                <c:formatCode>"$"#,##0.00</c:formatCode>
                <c:ptCount val="4"/>
                <c:pt idx="0">
                  <c:v>4560</c:v>
                </c:pt>
                <c:pt idx="1">
                  <c:v>6675</c:v>
                </c:pt>
                <c:pt idx="2">
                  <c:v>23110</c:v>
                </c:pt>
                <c:pt idx="3">
                  <c:v>12940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0-435F-8C77-B1E1801A2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500168"/>
        <c:axId val="1729546248"/>
      </c:barChart>
      <c:catAx>
        <c:axId val="172950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46248"/>
        <c:crosses val="autoZero"/>
        <c:auto val="1"/>
        <c:lblAlgn val="ctr"/>
        <c:lblOffset val="100"/>
        <c:noMultiLvlLbl val="0"/>
      </c:catAx>
      <c:valAx>
        <c:axId val="172954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00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Table!Sum of Profit to Profit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5A-4A8A-AF88-2F1703A444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5A-4A8A-AF88-2F1703A444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5A-4A8A-AF88-2F1703A4445E}"/>
              </c:ext>
            </c:extLst>
          </c:dPt>
          <c:cat>
            <c:strRef>
              <c:f>'Pivot Table'!$A$11:$A$14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</c:v>
                </c:pt>
              </c:strCache>
            </c:strRef>
          </c:cat>
          <c:val>
            <c:numRef>
              <c:f>'Pivot Table'!$B$11:$B$14</c:f>
              <c:numCache>
                <c:formatCode>"$"#,##0.00</c:formatCode>
                <c:ptCount val="3"/>
                <c:pt idx="0">
                  <c:v>754552</c:v>
                </c:pt>
                <c:pt idx="1">
                  <c:v>734769.5</c:v>
                </c:pt>
                <c:pt idx="2">
                  <c:v>787684.5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5A-4A8A-AF88-2F1703A44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Table'!$G$2:$G$12</c:f>
              <c:strCache>
                <c:ptCount val="10"/>
                <c:pt idx="0">
                  <c:v>Cabinet</c:v>
                </c:pt>
                <c:pt idx="1">
                  <c:v>Chair</c:v>
                </c:pt>
                <c:pt idx="2">
                  <c:v>Desk</c:v>
                </c:pt>
                <c:pt idx="3">
                  <c:v>Marker</c:v>
                </c:pt>
                <c:pt idx="4">
                  <c:v>Monitor</c:v>
                </c:pt>
                <c:pt idx="5">
                  <c:v>Mouse</c:v>
                </c:pt>
                <c:pt idx="6">
                  <c:v>Pen</c:v>
                </c:pt>
                <c:pt idx="7">
                  <c:v>Stapler</c:v>
                </c:pt>
                <c:pt idx="8">
                  <c:v>Table</c:v>
                </c:pt>
                <c:pt idx="9">
                  <c:v>Tablet</c:v>
                </c:pt>
              </c:strCache>
            </c:strRef>
          </c:cat>
          <c:val>
            <c:numRef>
              <c:f>'Pivot Table'!$H$2:$H$12</c:f>
              <c:numCache>
                <c:formatCode>"$"#,##0.00</c:formatCode>
                <c:ptCount val="10"/>
                <c:pt idx="0">
                  <c:v>658896</c:v>
                </c:pt>
                <c:pt idx="1">
                  <c:v>600261.5</c:v>
                </c:pt>
                <c:pt idx="2">
                  <c:v>602664.5</c:v>
                </c:pt>
                <c:pt idx="3">
                  <c:v>540189.5</c:v>
                </c:pt>
                <c:pt idx="4">
                  <c:v>545498</c:v>
                </c:pt>
                <c:pt idx="5">
                  <c:v>552747</c:v>
                </c:pt>
                <c:pt idx="6">
                  <c:v>673718</c:v>
                </c:pt>
                <c:pt idx="7">
                  <c:v>584751</c:v>
                </c:pt>
                <c:pt idx="8">
                  <c:v>540882</c:v>
                </c:pt>
                <c:pt idx="9">
                  <c:v>635150.5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3-4E7B-82ED-E221686A0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7"/>
        <c:axId val="1729500168"/>
        <c:axId val="1729546248"/>
      </c:barChart>
      <c:catAx>
        <c:axId val="1729500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46248"/>
        <c:crosses val="autoZero"/>
        <c:auto val="1"/>
        <c:lblAlgn val="ctr"/>
        <c:lblOffset val="100"/>
        <c:noMultiLvlLbl val="0"/>
      </c:catAx>
      <c:valAx>
        <c:axId val="1729546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00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2024-01-01</c:v>
                </c:pt>
                <c:pt idx="1">
                  <c:v>2024-01-02</c:v>
                </c:pt>
                <c:pt idx="2">
                  <c:v>2024-01-07</c:v>
                </c:pt>
                <c:pt idx="3">
                  <c:v>2025-01-01</c:v>
                </c:pt>
                <c:pt idx="4">
                  <c:v>2025-01-02</c:v>
                </c:pt>
              </c:strCache>
            </c:strRef>
          </c:cat>
          <c:val>
            <c:numRef>
              <c:f>'Pivot Table'!$B$19:$B$24</c:f>
              <c:numCache>
                <c:formatCode>"$"#,##0.00</c:formatCode>
                <c:ptCount val="5"/>
                <c:pt idx="0">
                  <c:v>6296</c:v>
                </c:pt>
                <c:pt idx="1">
                  <c:v>15785</c:v>
                </c:pt>
                <c:pt idx="2">
                  <c:v>13714</c:v>
                </c:pt>
                <c:pt idx="3">
                  <c:v>1150</c:v>
                </c:pt>
                <c:pt idx="4">
                  <c:v>10340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B-40AF-B97B-869F19BEC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297032"/>
        <c:axId val="1799303176"/>
      </c:lineChart>
      <c:catAx>
        <c:axId val="179929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303176"/>
        <c:crosses val="autoZero"/>
        <c:auto val="1"/>
        <c:lblAlgn val="ctr"/>
        <c:lblOffset val="100"/>
        <c:noMultiLvlLbl val="0"/>
      </c:catAx>
      <c:valAx>
        <c:axId val="179930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297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Salesperson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Table'!$H$15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Table'!$G$16:$G$23</c:f>
              <c:strCache>
                <c:ptCount val="7"/>
                <c:pt idx="0">
                  <c:v>Aisha</c:v>
                </c:pt>
                <c:pt idx="1">
                  <c:v>Arun</c:v>
                </c:pt>
                <c:pt idx="2">
                  <c:v>David</c:v>
                </c:pt>
                <c:pt idx="3">
                  <c:v>John</c:v>
                </c:pt>
                <c:pt idx="4">
                  <c:v>Meera</c:v>
                </c:pt>
                <c:pt idx="5">
                  <c:v>Priya</c:v>
                </c:pt>
                <c:pt idx="6">
                  <c:v>Rahul</c:v>
                </c:pt>
              </c:strCache>
            </c:strRef>
          </c:cat>
          <c:val>
            <c:numRef>
              <c:f>'Pivot Table'!$H$16:$H$23</c:f>
              <c:numCache>
                <c:formatCode>"$"#,##0.00</c:formatCode>
                <c:ptCount val="7"/>
                <c:pt idx="0">
                  <c:v>979373</c:v>
                </c:pt>
                <c:pt idx="1">
                  <c:v>1028761.5</c:v>
                </c:pt>
                <c:pt idx="2">
                  <c:v>1323172</c:v>
                </c:pt>
                <c:pt idx="3">
                  <c:v>1035911</c:v>
                </c:pt>
                <c:pt idx="4">
                  <c:v>1127391.5</c:v>
                </c:pt>
                <c:pt idx="5">
                  <c:v>1007877.5</c:v>
                </c:pt>
                <c:pt idx="6">
                  <c:v>1133117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5-4BE3-8BC2-EEDA9E1ED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9596552"/>
        <c:axId val="1799598600"/>
      </c:barChart>
      <c:catAx>
        <c:axId val="1799596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598600"/>
        <c:crosses val="autoZero"/>
        <c:auto val="1"/>
        <c:lblAlgn val="ctr"/>
        <c:lblOffset val="100"/>
        <c:noMultiLvlLbl val="0"/>
      </c:catAx>
      <c:valAx>
        <c:axId val="179959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596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Table'!$O$1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98-4A71-8EBC-922E951D10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98-4A71-8EBC-922E951D10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98-4A71-8EBC-922E951D10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98-4A71-8EBC-922E951D10C3}"/>
              </c:ext>
            </c:extLst>
          </c:dPt>
          <c:cat>
            <c:strRef>
              <c:f>'Pivot Table'!$N$2:$N$6</c:f>
              <c:strCache>
                <c:ptCount val="4"/>
                <c:pt idx="0">
                  <c:v>Bank Transfer</c:v>
                </c:pt>
                <c:pt idx="1">
                  <c:v>Card</c:v>
                </c:pt>
                <c:pt idx="2">
                  <c:v>Cash</c:v>
                </c:pt>
                <c:pt idx="3">
                  <c:v>UPI</c:v>
                </c:pt>
              </c:strCache>
            </c:strRef>
          </c:cat>
          <c:val>
            <c:numRef>
              <c:f>'Pivot Table'!$O$2:$O$6</c:f>
              <c:numCache>
                <c:formatCode>"$"#,##0.00</c:formatCode>
                <c:ptCount val="4"/>
                <c:pt idx="0">
                  <c:v>1975969</c:v>
                </c:pt>
                <c:pt idx="1">
                  <c:v>1662142</c:v>
                </c:pt>
                <c:pt idx="2">
                  <c:v>1829311.5</c:v>
                </c:pt>
                <c:pt idx="3">
                  <c:v>2168181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98-4A71-8EBC-922E951D1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14</xdr:col>
      <xdr:colOff>0</xdr:colOff>
      <xdr:row>12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FA375-EFBB-45AE-8098-3A937BD4637F}"/>
            </a:ext>
            <a:ext uri="{147F2762-F138-4A5C-976F-8EAC2B608ADB}">
              <a16:predDERef xmlns:a16="http://schemas.microsoft.com/office/drawing/2014/main" pred="{5305CEA8-9DFF-AB54-1284-824BA515D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</xdr:colOff>
      <xdr:row>2</xdr:row>
      <xdr:rowOff>209550</xdr:rowOff>
    </xdr:from>
    <xdr:to>
      <xdr:col>20</xdr:col>
      <xdr:colOff>9525</xdr:colOff>
      <xdr:row>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4144B2-87DA-4359-ABBE-BC0821A1C92A}"/>
            </a:ext>
            <a:ext uri="{147F2762-F138-4A5C-976F-8EAC2B608ADB}">
              <a16:predDERef xmlns:a16="http://schemas.microsoft.com/office/drawing/2014/main" pred="{0E3FA375-EFBB-45AE-8098-3A937BD46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13</xdr:row>
      <xdr:rowOff>9525</xdr:rowOff>
    </xdr:from>
    <xdr:to>
      <xdr:col>14</xdr:col>
      <xdr:colOff>0</xdr:colOff>
      <xdr:row>23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79FE7A-6DBE-40B1-9009-3DA7B0637A1D}"/>
            </a:ext>
            <a:ext uri="{147F2762-F138-4A5C-976F-8EAC2B608ADB}">
              <a16:predDERef xmlns:a16="http://schemas.microsoft.com/office/drawing/2014/main" pred="{F24144B2-87DA-4359-ABBE-BC0821A1C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28575</xdr:colOff>
      <xdr:row>13</xdr:row>
      <xdr:rowOff>9525</xdr:rowOff>
    </xdr:from>
    <xdr:to>
      <xdr:col>20</xdr:col>
      <xdr:colOff>9525</xdr:colOff>
      <xdr:row>23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C220F6-4AFA-4A9A-A141-1E5C627870A2}"/>
            </a:ext>
            <a:ext uri="{147F2762-F138-4A5C-976F-8EAC2B608ADB}">
              <a16:predDERef xmlns:a16="http://schemas.microsoft.com/office/drawing/2014/main" pred="{9879FE7A-6DBE-40B1-9009-3DA7B0637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23</xdr:row>
      <xdr:rowOff>47625</xdr:rowOff>
    </xdr:from>
    <xdr:to>
      <xdr:col>13</xdr:col>
      <xdr:colOff>600075</xdr:colOff>
      <xdr:row>33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E687C0-3900-4C7D-BBBB-FC6A66582CDD}"/>
            </a:ext>
            <a:ext uri="{147F2762-F138-4A5C-976F-8EAC2B608ADB}">
              <a16:predDERef xmlns:a16="http://schemas.microsoft.com/office/drawing/2014/main" pred="{69C220F6-4AFA-4A9A-A141-1E5C62787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28575</xdr:colOff>
      <xdr:row>23</xdr:row>
      <xdr:rowOff>47625</xdr:rowOff>
    </xdr:from>
    <xdr:to>
      <xdr:col>20</xdr:col>
      <xdr:colOff>9525</xdr:colOff>
      <xdr:row>33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A02439-482D-4504-81EA-543340A6D69A}"/>
            </a:ext>
            <a:ext uri="{147F2762-F138-4A5C-976F-8EAC2B608ADB}">
              <a16:predDERef xmlns:a16="http://schemas.microsoft.com/office/drawing/2014/main" pred="{D0E687C0-3900-4C7D-BBBB-FC6A66582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17</xdr:row>
      <xdr:rowOff>0</xdr:rowOff>
    </xdr:from>
    <xdr:to>
      <xdr:col>4</xdr:col>
      <xdr:colOff>219075</xdr:colOff>
      <xdr:row>24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Order_Date">
              <a:extLst>
                <a:ext uri="{FF2B5EF4-FFF2-40B4-BE49-F238E27FC236}">
                  <a16:creationId xmlns:a16="http://schemas.microsoft.com/office/drawing/2014/main" id="{5305CEA8-9DFF-AB54-1284-824BA515D8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0700" y="3219450"/>
              <a:ext cx="182880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5.434595949075" createdVersion="8" refreshedVersion="8" minRefreshableVersion="3" recordCount="955" xr:uid="{371557BD-82C3-46C5-AE9A-169DA4AA5E37}">
  <cacheSource type="worksheet">
    <worksheetSource name="SalesData"/>
  </cacheSource>
  <cacheFields count="15">
    <cacheField name="Order_ID" numFmtId="0">
      <sharedItems containsSemiMixedTypes="0" containsString="0" containsNumber="1" containsInteger="1" minValue="10002" maxValue="11016"/>
    </cacheField>
    <cacheField name="Order_Date" numFmtId="14">
      <sharedItems containsDate="1" containsMixedTypes="1" minDate="2025-01-01T00:00:00" maxDate="2025-01-02T00:00:00" count="452">
        <d v="2025-01-01T00:00:00"/>
        <s v="2025-03-26"/>
        <s v="2024-12-22"/>
        <s v="2025-04-29"/>
        <s v="2025-04-03"/>
        <s v="2024-03-05"/>
        <s v="2024-09-17"/>
        <s v="2024-02-20"/>
        <s v="2025-01-06"/>
        <s v="2024-12-26"/>
        <s v="2024-04-21"/>
        <s v="2025-02-02"/>
        <s v="2025-03-08"/>
        <s v="2024-11-11"/>
        <s v="2024-08-24"/>
        <s v="2025-05-24"/>
        <s v="2024-08-19"/>
        <s v="2024-05-11"/>
        <s v="2024-05-02"/>
        <s v="2024-11-14"/>
        <s v="2024-11-12"/>
        <s v="2024-06-11"/>
        <s v="2025-02-16"/>
        <s v="2025-05-11"/>
        <s v="2024-06-04"/>
        <s v="2025-05-02"/>
        <s v="2024-05-07"/>
        <s v="2024-12-24"/>
        <s v="2025-06-22"/>
        <s v="2024-10-24"/>
        <s v="2024-03-14"/>
        <s v="2024-11-18"/>
        <s v="2024-12-25"/>
        <s v="2024-09-03"/>
        <s v="2024-10-25"/>
        <s v="2024-07-01"/>
        <s v="2024-02-10"/>
        <s v="2025-03-19"/>
        <s v="2024-09-15"/>
        <s v="2024-01-23"/>
        <s v="2024-12-27"/>
        <s v="2025-06-07"/>
        <s v="2025-03-06"/>
        <s v="2024-12-15"/>
        <s v="2025-03-27"/>
        <s v="2024-03-18"/>
        <s v="2024-10-14"/>
        <s v="2024-02-28"/>
        <s v="2024-01-05"/>
        <s v="2024-05-21"/>
        <s v="2025-05-15"/>
        <s v="2025-05-30"/>
        <s v="2024-03-13"/>
        <s v="2024-03-26"/>
        <s v="2024-02-12"/>
        <s v="2025-05-13"/>
        <s v="2024-05-22"/>
        <s v="2024-11-20"/>
        <s v="2024-11-10"/>
        <s v="2024-07-22"/>
        <s v="2024-08-10"/>
        <s v="2025-06-21"/>
        <s v="2024-05-19"/>
        <s v="2024-08-22"/>
        <s v="2024-07-31"/>
        <s v="2025-03-13"/>
        <s v="2024-02-05"/>
        <s v="2024-01-18"/>
        <s v="2024-05-05"/>
        <s v="2024-05-17"/>
        <s v="2024-07-03"/>
        <s v="2025-04-05"/>
        <s v="2025-02-06"/>
        <s v="2025-02-01"/>
        <s v="2024-08-16"/>
        <s v="2024-12-07"/>
        <s v="2024-12-29"/>
        <s v="2025-01-24"/>
        <s v="2025-02-11"/>
        <s v="2024-11-08"/>
        <s v="2024-07-15"/>
        <s v="2024-05-28"/>
        <s v="2024-01-28"/>
        <s v="2025-04-19"/>
        <s v="2025-03-23"/>
        <s v="2025-01-10"/>
        <s v="2024-04-20"/>
        <s v="2024-09-26"/>
        <s v="2024-09-16"/>
        <s v="2024-02-22"/>
        <s v="2024-07-08"/>
        <s v="2024-03-19"/>
        <s v="2024-08-07"/>
        <s v="2025-05-01"/>
        <s v="2025-01-17"/>
        <s v="2025-01-18"/>
        <s v="2024-04-15"/>
        <s v="2024-03-08"/>
        <s v="2024-07-27"/>
        <s v="2024-12-30"/>
        <s v="2025-06-06"/>
        <s v="2025-01-22"/>
        <s v="2024-12-04"/>
        <s v="2024-07-10"/>
        <s v="2025-04-06"/>
        <s v="2025-05-31"/>
        <s v="2025-04-07"/>
        <s v="2024-11-17"/>
        <s v="2025-01-16"/>
        <s v="2024-05-29"/>
        <s v="2024-02-23"/>
        <s v="2024-12-14"/>
        <s v="2024-03-22"/>
        <s v="2025-05-03"/>
        <s v="2024-07-14"/>
        <s v="2024-03-10"/>
        <s v="2024-11-26"/>
        <s v="2024-03-27"/>
        <s v="2025-03-16"/>
        <s v="2025-02-27"/>
        <s v="2024-09-18"/>
        <s v="2025-01-11"/>
        <s v="2025-02-10"/>
        <s v="2025-02-13"/>
        <s v="2024-06-09"/>
        <s v="2024-08-06"/>
        <s v="2024-09-02"/>
        <s v="2024-04-06"/>
        <s v="2025-03-30"/>
        <s v="2025-03-18"/>
        <s v="2025-03-03"/>
        <s v="2025-04-18"/>
        <s v="2024-05-12"/>
        <s v="2024-06-21"/>
        <s v="2024-02-17"/>
        <s v="2024-04-05"/>
        <s v="2024-09-28"/>
        <s v="2024-04-13"/>
        <s v="2025-06-13"/>
        <s v="2024-09-21"/>
        <s v="2024-05-16"/>
        <s v="2024-07-17"/>
        <s v="2025-03-05"/>
        <s v="2024-06-16"/>
        <s v="2024-04-01"/>
        <s v="2025-04-04"/>
        <s v="2024-04-29"/>
        <s v="2025-01-08"/>
        <s v="2024-12-23"/>
        <s v="2024-01-17"/>
        <s v="2024-05-26"/>
        <s v="2024-10-05"/>
        <s v="2024-07-21"/>
        <s v="2024-07-29"/>
        <s v="2024-07-07"/>
        <s v="2024-03-23"/>
        <s v="2025-05-28"/>
        <s v="2025-05-05"/>
        <s v="2024-02-14"/>
        <s v="2024-04-04"/>
        <s v="2024-02-06"/>
        <s v="2025-05-04"/>
        <s v="2024-11-30"/>
        <s v="2024-06-12"/>
        <s v="2024-02-11"/>
        <s v="2024-01-07"/>
        <s v="2024-07-06"/>
        <s v="2024-04-07"/>
        <s v="2024-11-19"/>
        <s v="2024-01-21"/>
        <s v="2024-06-15"/>
        <s v="2024-06-28"/>
        <s v="2025-03-09"/>
        <s v="2024-05-24"/>
        <s v="2025-03-14"/>
        <s v="2024-04-12"/>
        <s v="2024-03-31"/>
        <s v="2024-12-03"/>
        <s v="2024-09-05"/>
        <s v="2024-06-13"/>
        <s v="2024-10-18"/>
        <s v="2025-05-19"/>
        <s v="2024-10-11"/>
        <s v="2024-09-22"/>
        <s v="2024-12-17"/>
        <s v="2024-11-22"/>
        <s v="2025-04-10"/>
        <s v="2024-04-17"/>
        <s v="2024-01-20"/>
        <s v="2024-05-08"/>
        <s v="2025-01-09"/>
        <s v="2024-02-08"/>
        <s v="2024-06-23"/>
        <s v="2024-05-18"/>
        <s v="2025-06-05"/>
        <s v="2025-04-21"/>
        <s v="2025-05-17"/>
        <s v="2024-08-13"/>
        <s v="2024-06-25"/>
        <s v="2024-08-01"/>
        <s v="2024-09-27"/>
        <s v="2024-07-20"/>
        <s v="2024-10-12"/>
        <s v="2025-05-26"/>
        <s v="2025-05-12"/>
        <s v="2024-04-28"/>
        <s v="2024-10-09"/>
        <s v="2024-06-27"/>
        <s v="2024-12-19"/>
        <s v="2024-09-19"/>
        <s v="2024-10-20"/>
        <s v="2025-06-20"/>
        <s v="2024-11-04"/>
        <s v="2024-07-05"/>
        <s v="2025-01-07"/>
        <s v="2025-06-10"/>
        <s v="2024-03-07"/>
        <s v="2024-12-01"/>
        <s v="2025-06-17"/>
        <s v="2024-11-05"/>
        <s v="2024-04-03"/>
        <s v="2024-11-25"/>
        <s v="2025-01-25"/>
        <s v="2024-08-08"/>
        <s v="2024-10-16"/>
        <s v="2025-03-15"/>
        <s v="2024-08-05"/>
        <s v="2024-01-11"/>
        <s v="2025-01-19"/>
        <s v="2024-08-11"/>
        <s v="2024-01-24"/>
        <s v="2024-03-17"/>
        <s v="2024-10-29"/>
        <s v="2025-01-05"/>
        <s v="2024-04-10"/>
        <s v="2024-12-20"/>
        <s v="2024-02-25"/>
        <s v="2024-12-31"/>
        <s v="2024-05-31"/>
        <s v="2024-07-09"/>
        <s v="2024-10-02"/>
        <s v="2025-04-20"/>
        <s v="2025-03-31"/>
        <s v="2025-06-01"/>
        <s v="2024-09-24"/>
        <s v="2024-03-06"/>
        <s v="2024-07-12"/>
        <s v="2024-07-19"/>
        <s v="2025-02-04"/>
        <s v="2024-10-04"/>
        <s v="2024-11-28"/>
        <s v="2024-10-17"/>
        <s v="2025-05-25"/>
        <s v="2025-06-11"/>
        <s v="2025-03-20"/>
        <s v="2024-01-04"/>
        <s v="2025-01-26"/>
        <s v="2025-04-30"/>
        <s v="2025-04-16"/>
        <s v="2024-10-26"/>
        <s v="2025-01-13"/>
        <s v="2025-03-25"/>
        <s v="2024-04-18"/>
        <s v="2024-12-06"/>
        <s v="2025-04-08"/>
        <s v="2025-06-08"/>
        <s v="2024-03-21"/>
        <s v="2024-10-21"/>
        <s v="2024-07-04"/>
        <s v="2024-05-30"/>
        <s v="2024-09-09"/>
        <s v="2025-06-03"/>
        <s v="2024-12-09"/>
        <s v="2024-06-22"/>
        <s v="2024-09-20"/>
        <s v="2025-02-14"/>
        <s v="2025-01-27"/>
        <s v="2025-05-09"/>
        <s v="2025-05-10"/>
        <s v="2024-12-16"/>
        <s v="2025-02-17"/>
        <s v="2025-06-15"/>
        <s v="2024-03-01"/>
        <s v="2024-01-13"/>
        <s v="2024-06-30"/>
        <s v="2024-05-25"/>
        <s v="2025-02-28"/>
        <s v="2025-05-20"/>
        <s v="2024-01-31"/>
        <s v="2025-03-22"/>
        <s v="2025-03-21"/>
        <s v="2025-04-09"/>
        <s v="2025-05-07"/>
        <s v="2025-03-07"/>
        <s v="2025-06-16"/>
        <s v="2025-05-23"/>
        <s v="2024-08-15"/>
        <s v="2025-02-08"/>
        <s v="2024-06-07"/>
        <s v="2024-02-13"/>
        <s v="2025-05-14"/>
        <s v="2024-10-03"/>
        <s v="2024-06-17"/>
        <s v="2024-11-24"/>
        <s v="2024-01-02"/>
        <s v="2025-04-28"/>
        <s v="2024-06-18"/>
        <s v="2025-03-02"/>
        <s v="2024-06-06"/>
        <s v="2025-04-23"/>
        <s v="2024-08-18"/>
        <s v="2024-11-15"/>
        <s v="2024-04-09"/>
        <s v="2025-01-20"/>
        <s v="2025-01-12"/>
        <s v="2024-11-23"/>
        <s v="2024-02-16"/>
        <s v="2025-04-22"/>
        <s v="2024-04-08"/>
        <s v="2024-04-11"/>
        <s v="2025-03-29"/>
        <s v="2025-03-17"/>
        <s v="2024-01-06"/>
        <s v="2024-11-09"/>
        <s v="2025-06-19"/>
        <s v="2024-11-06"/>
        <s v="2024-05-14"/>
        <s v="2024-02-01"/>
        <s v="2025-04-02"/>
        <s v="2024-08-23"/>
        <s v="2024-12-28"/>
        <s v="2025-03-10"/>
        <s v="2025-06-12"/>
        <s v="2024-03-24"/>
        <s v="2025-02-05"/>
        <s v="2024-04-30"/>
        <s v="2024-07-28"/>
        <s v="2024-02-07"/>
        <s v="2024-08-04"/>
        <s v="2024-02-29"/>
        <s v="2024-01-03"/>
        <s v="2024-10-10"/>
        <s v="2024-06-24"/>
        <s v="2024-06-03"/>
        <s v="2024-02-04"/>
        <s v="2025-02-15"/>
        <s v="2024-02-18"/>
        <s v="2025-05-18"/>
        <s v="2025-04-25"/>
        <s v="2024-04-14"/>
        <s v="2024-10-01"/>
        <s v="2024-09-25"/>
        <s v="2024-10-31"/>
        <s v="2025-01-29"/>
        <s v="2024-09-13"/>
        <s v="2024-10-23"/>
        <s v="2025-02-22"/>
        <s v="2025-06-14"/>
        <s v="2024-10-28"/>
        <s v="2025-01-30"/>
        <s v="2025-05-27"/>
        <s v="2025-02-20"/>
        <s v="2024-01-16"/>
        <s v="2025-03-04"/>
        <s v="2024-04-19"/>
        <s v="2024-12-21"/>
        <s v="2025-02-12"/>
        <s v="2024-03-29"/>
        <s v="2025-03-11"/>
        <s v="2025-05-06"/>
        <s v="2024-08-09"/>
        <s v="2024-01-10"/>
        <s v="2024-03-28"/>
        <s v="2024-01-12"/>
        <s v="2024-10-22"/>
        <s v="2024-07-23"/>
        <s v="2025-06-04"/>
        <s v="2024-05-15"/>
        <s v="2024-07-11"/>
        <s v="2024-05-06"/>
        <s v="2025-01-03"/>
        <s v="2024-07-26"/>
        <s v="2024-10-08"/>
        <s v="2024-02-26"/>
        <s v="2025-03-24"/>
        <s v="2025-05-29"/>
        <s v="2025-04-12"/>
        <s v="2025-06-02"/>
        <s v="2024-10-15"/>
        <s v="2024-11-21"/>
        <s v="2025-04-17"/>
        <s v="2024-03-16"/>
        <s v="2024-11-03"/>
        <s v="2024-09-06"/>
        <s v="2025-01-31"/>
        <s v="2024-01-15"/>
        <s v="2025-04-14"/>
        <s v="2024-11-02"/>
        <s v="2025-02-25"/>
        <s v="2025-01-01"/>
        <s v="2025-04-15"/>
        <s v="2025-05-16"/>
        <s v="2024-08-12"/>
        <s v="2024-09-04"/>
        <s v="2025-05-22"/>
        <s v="2025-02-09"/>
        <s v="2024-06-10"/>
        <s v="2024-06-08"/>
        <s v="2024-01-01"/>
        <s v="2024-04-24"/>
        <s v="2024-01-08"/>
        <s v="2025-04-11"/>
        <s v="2024-09-23"/>
        <s v="2025-04-01"/>
        <s v="2024-06-20"/>
        <s v="2025-02-24"/>
        <s v="2024-06-29"/>
        <s v="2024-05-09"/>
        <s v="2025-01-28"/>
        <s v="2024-10-27"/>
        <s v="2024-03-15"/>
        <s v="2025-01-04"/>
        <s v="2024-03-30"/>
        <s v="2024-08-28"/>
        <s v="2024-08-30"/>
        <s v="2024-07-30"/>
        <s v="2024-02-03"/>
        <s v="2024-07-02"/>
        <s v="2024-01-09"/>
        <s v="2024-08-17"/>
        <s v="2025-02-23"/>
        <s v="2025-05-08"/>
        <s v="2024-02-09"/>
        <s v="2025-01-02"/>
        <s v="2024-06-26"/>
        <s v="2024-05-03"/>
        <s v="2025-04-13"/>
        <s v="2025-04-27"/>
        <s v="2024-02-19"/>
        <s v="2024-06-05"/>
        <s v="2024-09-01"/>
        <s v="2025-03-28"/>
        <s v="2024-08-25"/>
        <s v="2024-01-27"/>
        <s v="2024-02-21"/>
        <s v="2025-03-01"/>
        <s v="2024-01-14"/>
        <s v="2025-06-24"/>
        <s v="2025-06-18"/>
        <s v="2024-05-13"/>
        <s v="2024-03-09"/>
        <s v="2024-09-10"/>
      </sharedItems>
    </cacheField>
    <cacheField name="Customer_Name" numFmtId="0">
      <sharedItems/>
    </cacheField>
    <cacheField name="Region" numFmtId="0">
      <sharedItems count="4">
        <s v="South"/>
        <s v="North"/>
        <s v="East"/>
        <s v="West"/>
      </sharedItems>
    </cacheField>
    <cacheField name="Category" numFmtId="0">
      <sharedItems count="3">
        <s v="Office"/>
        <s v="Furniture"/>
        <s v="Electronics"/>
      </sharedItems>
    </cacheField>
    <cacheField name="Product" numFmtId="0">
      <sharedItems count="14">
        <s v="Stapler"/>
        <s v="Pen"/>
        <s v="Notebook"/>
        <s v="Cabinet"/>
        <s v="Chair"/>
        <s v="Mouse"/>
        <s v="Laptop"/>
        <s v="Monitor"/>
        <s v="Marker"/>
        <s v="Tablet"/>
        <s v="Paper"/>
        <s v="Table"/>
        <s v="Keyboard"/>
        <s v="Desk"/>
      </sharedItems>
    </cacheField>
    <cacheField name="Salesperson" numFmtId="0">
      <sharedItems count="7">
        <s v="John"/>
        <s v="David"/>
        <s v="Aisha"/>
        <s v="Arun"/>
        <s v="Priya"/>
        <s v="Rahul"/>
        <s v="Meera"/>
      </sharedItems>
    </cacheField>
    <cacheField name="Quantity" numFmtId="0">
      <sharedItems containsSemiMixedTypes="0" containsString="0" containsNumber="1" containsInteger="1" minValue="1" maxValue="15"/>
    </cacheField>
    <cacheField name="Unit_Price" numFmtId="164">
      <sharedItems containsSemiMixedTypes="0" containsString="0" containsNumber="1" containsInteger="1" minValue="200" maxValue="2000"/>
    </cacheField>
    <cacheField name="Discount_%" numFmtId="0">
      <sharedItems containsSemiMixedTypes="0" containsString="0" containsNumber="1" containsInteger="1" minValue="0" maxValue="20"/>
    </cacheField>
    <cacheField name="Revenue" numFmtId="164">
      <sharedItems containsSemiMixedTypes="0" containsString="0" containsNumber="1" minValue="195.5" maxValue="29850"/>
    </cacheField>
    <cacheField name="Cost" numFmtId="164">
      <sharedItems containsSemiMixedTypes="0" containsString="0" containsNumber="1" containsInteger="1" minValue="140" maxValue="23581"/>
    </cacheField>
    <cacheField name="Profit" numFmtId="164">
      <sharedItems containsSemiMixedTypes="0" containsString="0" containsNumber="1" minValue="39.5" maxValue="11851"/>
    </cacheField>
    <cacheField name="Payment_Method" numFmtId="0">
      <sharedItems count="4">
        <s v="Card"/>
        <s v="Bank Transfer"/>
        <s v="Cash"/>
        <s v="UPI"/>
      </sharedItems>
    </cacheField>
    <cacheField name="Customer_Rating" numFmtId="0">
      <sharedItems containsSemiMixedTypes="0" containsString="0" containsNumber="1" containsInteger="1" minValue="1" maxValue="5" count="5">
        <n v="1"/>
        <n v="4"/>
        <n v="2"/>
        <n v="5"/>
        <n v="3"/>
      </sharedItems>
    </cacheField>
  </cacheFields>
  <extLst>
    <ext xmlns:x14="http://schemas.microsoft.com/office/spreadsheetml/2009/9/main" uri="{725AE2AE-9491-48be-B2B4-4EB974FC3084}">
      <x14:pivotCacheDefinition pivotCacheId="18923940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">
  <r>
    <n v="10002"/>
    <x v="0"/>
    <s v="Vivek"/>
    <x v="0"/>
    <x v="0"/>
    <x v="0"/>
    <x v="0"/>
    <n v="14"/>
    <n v="1770"/>
    <n v="0"/>
    <n v="24780"/>
    <n v="14620"/>
    <n v="10160"/>
    <x v="0"/>
    <x v="0"/>
  </r>
  <r>
    <n v="10003"/>
    <x v="1"/>
    <s v="Vivek"/>
    <x v="1"/>
    <x v="0"/>
    <x v="1"/>
    <x v="0"/>
    <n v="4"/>
    <n v="1560"/>
    <n v="10"/>
    <n v="5616"/>
    <n v="3088"/>
    <n v="2528"/>
    <x v="1"/>
    <x v="0"/>
  </r>
  <r>
    <n v="10004"/>
    <x v="2"/>
    <s v="Amit"/>
    <x v="2"/>
    <x v="0"/>
    <x v="2"/>
    <x v="1"/>
    <n v="1"/>
    <n v="760"/>
    <n v="15"/>
    <n v="646"/>
    <n v="400"/>
    <n v="246"/>
    <x v="1"/>
    <x v="1"/>
  </r>
  <r>
    <n v="10005"/>
    <x v="3"/>
    <s v="Anjali"/>
    <x v="1"/>
    <x v="1"/>
    <x v="3"/>
    <x v="2"/>
    <n v="7"/>
    <n v="580"/>
    <n v="0"/>
    <n v="4060"/>
    <n v="3329"/>
    <n v="731"/>
    <x v="2"/>
    <x v="0"/>
  </r>
  <r>
    <n v="10006"/>
    <x v="4"/>
    <s v="Anjali"/>
    <x v="0"/>
    <x v="1"/>
    <x v="4"/>
    <x v="1"/>
    <n v="2"/>
    <n v="1240"/>
    <n v="5"/>
    <n v="2356"/>
    <n v="1908"/>
    <n v="448"/>
    <x v="2"/>
    <x v="2"/>
  </r>
  <r>
    <n v="10008"/>
    <x v="5"/>
    <s v="Sara"/>
    <x v="3"/>
    <x v="2"/>
    <x v="5"/>
    <x v="3"/>
    <n v="13"/>
    <n v="910"/>
    <n v="20"/>
    <n v="9464"/>
    <n v="6814"/>
    <n v="2650"/>
    <x v="0"/>
    <x v="3"/>
  </r>
  <r>
    <n v="10009"/>
    <x v="6"/>
    <s v="Vivek"/>
    <x v="0"/>
    <x v="0"/>
    <x v="1"/>
    <x v="0"/>
    <n v="1"/>
    <n v="300"/>
    <n v="0"/>
    <n v="300"/>
    <n v="231"/>
    <n v="69"/>
    <x v="0"/>
    <x v="1"/>
  </r>
  <r>
    <n v="10010"/>
    <x v="7"/>
    <s v="Riya"/>
    <x v="0"/>
    <x v="0"/>
    <x v="1"/>
    <x v="3"/>
    <n v="7"/>
    <n v="1850"/>
    <n v="20"/>
    <n v="10360"/>
    <n v="6630"/>
    <n v="3730"/>
    <x v="1"/>
    <x v="1"/>
  </r>
  <r>
    <n v="10011"/>
    <x v="8"/>
    <s v="Neha"/>
    <x v="3"/>
    <x v="2"/>
    <x v="6"/>
    <x v="4"/>
    <n v="4"/>
    <n v="1280"/>
    <n v="15"/>
    <n v="4352"/>
    <n v="3655"/>
    <n v="697"/>
    <x v="3"/>
    <x v="3"/>
  </r>
  <r>
    <n v="10012"/>
    <x v="9"/>
    <s v="Neha"/>
    <x v="2"/>
    <x v="2"/>
    <x v="7"/>
    <x v="5"/>
    <n v="8"/>
    <n v="1800"/>
    <n v="15"/>
    <n v="12240"/>
    <n v="9669"/>
    <n v="2571"/>
    <x v="3"/>
    <x v="0"/>
  </r>
  <r>
    <n v="10013"/>
    <x v="10"/>
    <s v="Vivek"/>
    <x v="2"/>
    <x v="0"/>
    <x v="2"/>
    <x v="6"/>
    <n v="11"/>
    <n v="1300"/>
    <n v="0"/>
    <n v="14300"/>
    <n v="9009"/>
    <n v="5291"/>
    <x v="3"/>
    <x v="3"/>
  </r>
  <r>
    <n v="10014"/>
    <x v="11"/>
    <s v="Mohit"/>
    <x v="0"/>
    <x v="0"/>
    <x v="8"/>
    <x v="5"/>
    <n v="15"/>
    <n v="1790"/>
    <n v="0"/>
    <n v="26850"/>
    <n v="19869"/>
    <n v="6981"/>
    <x v="3"/>
    <x v="0"/>
  </r>
  <r>
    <n v="10015"/>
    <x v="12"/>
    <s v="Sneha"/>
    <x v="3"/>
    <x v="1"/>
    <x v="3"/>
    <x v="6"/>
    <n v="8"/>
    <n v="650"/>
    <n v="10"/>
    <n v="4680"/>
    <n v="3837"/>
    <n v="843"/>
    <x v="0"/>
    <x v="2"/>
  </r>
  <r>
    <n v="10017"/>
    <x v="13"/>
    <s v="Mohit"/>
    <x v="3"/>
    <x v="1"/>
    <x v="3"/>
    <x v="0"/>
    <n v="11"/>
    <n v="1900"/>
    <n v="15"/>
    <n v="17765"/>
    <n v="11014"/>
    <n v="6751"/>
    <x v="1"/>
    <x v="3"/>
  </r>
  <r>
    <n v="10018"/>
    <x v="14"/>
    <s v="Neha"/>
    <x v="1"/>
    <x v="0"/>
    <x v="1"/>
    <x v="1"/>
    <n v="14"/>
    <n v="1900"/>
    <n v="10"/>
    <n v="23940"/>
    <n v="17236"/>
    <n v="6704"/>
    <x v="1"/>
    <x v="1"/>
  </r>
  <r>
    <n v="10019"/>
    <x v="15"/>
    <s v="Nikhil"/>
    <x v="3"/>
    <x v="2"/>
    <x v="9"/>
    <x v="0"/>
    <n v="13"/>
    <n v="1560"/>
    <n v="0"/>
    <n v="20280"/>
    <n v="17238"/>
    <n v="3042"/>
    <x v="1"/>
    <x v="2"/>
  </r>
  <r>
    <n v="10020"/>
    <x v="16"/>
    <s v="Vivek"/>
    <x v="0"/>
    <x v="0"/>
    <x v="10"/>
    <x v="5"/>
    <n v="14"/>
    <n v="340"/>
    <n v="10"/>
    <n v="4284"/>
    <n v="2613"/>
    <n v="1671"/>
    <x v="3"/>
    <x v="0"/>
  </r>
  <r>
    <n v="10021"/>
    <x v="17"/>
    <s v="Sara"/>
    <x v="3"/>
    <x v="2"/>
    <x v="5"/>
    <x v="6"/>
    <n v="10"/>
    <n v="990"/>
    <n v="5"/>
    <n v="9405"/>
    <n v="7524"/>
    <n v="1881"/>
    <x v="0"/>
    <x v="4"/>
  </r>
  <r>
    <n v="10022"/>
    <x v="18"/>
    <s v="Vivek"/>
    <x v="1"/>
    <x v="1"/>
    <x v="11"/>
    <x v="1"/>
    <n v="13"/>
    <n v="910"/>
    <n v="5"/>
    <n v="11238.5"/>
    <n v="8091"/>
    <n v="3147.5"/>
    <x v="2"/>
    <x v="4"/>
  </r>
  <r>
    <n v="10023"/>
    <x v="19"/>
    <s v="Kiran"/>
    <x v="2"/>
    <x v="2"/>
    <x v="7"/>
    <x v="5"/>
    <n v="13"/>
    <n v="960"/>
    <n v="0"/>
    <n v="12480"/>
    <n v="9484"/>
    <n v="2996"/>
    <x v="3"/>
    <x v="3"/>
  </r>
  <r>
    <n v="10024"/>
    <x v="20"/>
    <s v="Neha"/>
    <x v="2"/>
    <x v="1"/>
    <x v="11"/>
    <x v="2"/>
    <n v="3"/>
    <n v="690"/>
    <n v="10"/>
    <n v="1863"/>
    <n v="1583"/>
    <n v="280"/>
    <x v="0"/>
    <x v="4"/>
  </r>
  <r>
    <n v="10025"/>
    <x v="21"/>
    <s v="Amit"/>
    <x v="0"/>
    <x v="2"/>
    <x v="12"/>
    <x v="1"/>
    <n v="3"/>
    <n v="1720"/>
    <n v="20"/>
    <n v="4128"/>
    <n v="2765"/>
    <n v="1363"/>
    <x v="2"/>
    <x v="4"/>
  </r>
  <r>
    <n v="10026"/>
    <x v="22"/>
    <s v="Mohit"/>
    <x v="2"/>
    <x v="1"/>
    <x v="3"/>
    <x v="3"/>
    <n v="11"/>
    <n v="740"/>
    <n v="15"/>
    <n v="6919"/>
    <n v="5811"/>
    <n v="1108"/>
    <x v="1"/>
    <x v="0"/>
  </r>
  <r>
    <n v="10027"/>
    <x v="23"/>
    <s v="Neha"/>
    <x v="3"/>
    <x v="0"/>
    <x v="1"/>
    <x v="1"/>
    <n v="11"/>
    <n v="1790"/>
    <n v="15"/>
    <n v="16736.5"/>
    <n v="11715"/>
    <n v="5021.5"/>
    <x v="2"/>
    <x v="1"/>
  </r>
  <r>
    <n v="10028"/>
    <x v="24"/>
    <s v="Sneha"/>
    <x v="1"/>
    <x v="1"/>
    <x v="3"/>
    <x v="4"/>
    <n v="13"/>
    <n v="220"/>
    <n v="20"/>
    <n v="2288"/>
    <n v="1327"/>
    <n v="961"/>
    <x v="3"/>
    <x v="4"/>
  </r>
  <r>
    <n v="10029"/>
    <x v="25"/>
    <s v="Kiran"/>
    <x v="1"/>
    <x v="0"/>
    <x v="10"/>
    <x v="5"/>
    <n v="11"/>
    <n v="1830"/>
    <n v="10"/>
    <n v="18117"/>
    <n v="13044"/>
    <n v="5073"/>
    <x v="3"/>
    <x v="3"/>
  </r>
  <r>
    <n v="10030"/>
    <x v="26"/>
    <s v="Vivek"/>
    <x v="3"/>
    <x v="2"/>
    <x v="9"/>
    <x v="2"/>
    <n v="7"/>
    <n v="360"/>
    <n v="10"/>
    <n v="2268"/>
    <n v="1474"/>
    <n v="794"/>
    <x v="0"/>
    <x v="2"/>
  </r>
  <r>
    <n v="10032"/>
    <x v="27"/>
    <s v="Kiran"/>
    <x v="1"/>
    <x v="0"/>
    <x v="10"/>
    <x v="1"/>
    <n v="2"/>
    <n v="620"/>
    <n v="20"/>
    <n v="992"/>
    <n v="803"/>
    <n v="189"/>
    <x v="3"/>
    <x v="0"/>
  </r>
  <r>
    <n v="10033"/>
    <x v="28"/>
    <s v="Sneha"/>
    <x v="3"/>
    <x v="0"/>
    <x v="8"/>
    <x v="2"/>
    <n v="4"/>
    <n v="230"/>
    <n v="0"/>
    <n v="920"/>
    <n v="542"/>
    <n v="378"/>
    <x v="0"/>
    <x v="1"/>
  </r>
  <r>
    <n v="10034"/>
    <x v="29"/>
    <s v="Anjali"/>
    <x v="3"/>
    <x v="0"/>
    <x v="1"/>
    <x v="3"/>
    <n v="10"/>
    <n v="430"/>
    <n v="15"/>
    <n v="3655"/>
    <n v="3070"/>
    <n v="585"/>
    <x v="1"/>
    <x v="1"/>
  </r>
  <r>
    <n v="10035"/>
    <x v="30"/>
    <s v="Nikhil"/>
    <x v="2"/>
    <x v="2"/>
    <x v="12"/>
    <x v="2"/>
    <n v="11"/>
    <n v="450"/>
    <n v="0"/>
    <n v="4950"/>
    <n v="3366"/>
    <n v="1584"/>
    <x v="3"/>
    <x v="2"/>
  </r>
  <r>
    <n v="10036"/>
    <x v="31"/>
    <s v="Neha"/>
    <x v="3"/>
    <x v="2"/>
    <x v="5"/>
    <x v="4"/>
    <n v="8"/>
    <n v="700"/>
    <n v="20"/>
    <n v="4480"/>
    <n v="3494"/>
    <n v="986"/>
    <x v="2"/>
    <x v="4"/>
  </r>
  <r>
    <n v="10037"/>
    <x v="32"/>
    <s v="Vivek"/>
    <x v="2"/>
    <x v="2"/>
    <x v="5"/>
    <x v="6"/>
    <n v="9"/>
    <n v="230"/>
    <n v="10"/>
    <n v="1863"/>
    <n v="1061"/>
    <n v="802"/>
    <x v="2"/>
    <x v="0"/>
  </r>
  <r>
    <n v="10038"/>
    <x v="33"/>
    <s v="Kiran"/>
    <x v="2"/>
    <x v="0"/>
    <x v="1"/>
    <x v="1"/>
    <n v="1"/>
    <n v="730"/>
    <n v="15"/>
    <n v="620.5"/>
    <n v="440"/>
    <n v="180.5"/>
    <x v="1"/>
    <x v="4"/>
  </r>
  <r>
    <n v="10039"/>
    <x v="34"/>
    <s v="Kiran"/>
    <x v="0"/>
    <x v="0"/>
    <x v="1"/>
    <x v="1"/>
    <n v="2"/>
    <n v="630"/>
    <n v="0"/>
    <n v="1260"/>
    <n v="982"/>
    <n v="278"/>
    <x v="1"/>
    <x v="2"/>
  </r>
  <r>
    <n v="10040"/>
    <x v="35"/>
    <s v="Anjali"/>
    <x v="1"/>
    <x v="1"/>
    <x v="4"/>
    <x v="0"/>
    <n v="6"/>
    <n v="670"/>
    <n v="5"/>
    <n v="3819"/>
    <n v="3131"/>
    <n v="688"/>
    <x v="3"/>
    <x v="4"/>
  </r>
  <r>
    <n v="10041"/>
    <x v="36"/>
    <s v="Anjali"/>
    <x v="3"/>
    <x v="1"/>
    <x v="4"/>
    <x v="4"/>
    <n v="9"/>
    <n v="630"/>
    <n v="10"/>
    <n v="5103"/>
    <n v="3419"/>
    <n v="1684"/>
    <x v="0"/>
    <x v="4"/>
  </r>
  <r>
    <n v="10042"/>
    <x v="37"/>
    <s v="Amit"/>
    <x v="2"/>
    <x v="0"/>
    <x v="1"/>
    <x v="3"/>
    <n v="6"/>
    <n v="1410"/>
    <n v="10"/>
    <n v="7614"/>
    <n v="4187"/>
    <n v="3427"/>
    <x v="1"/>
    <x v="4"/>
  </r>
  <r>
    <n v="10043"/>
    <x v="38"/>
    <s v="Nikhil"/>
    <x v="1"/>
    <x v="0"/>
    <x v="8"/>
    <x v="4"/>
    <n v="1"/>
    <n v="810"/>
    <n v="20"/>
    <n v="648"/>
    <n v="414"/>
    <n v="234"/>
    <x v="1"/>
    <x v="3"/>
  </r>
  <r>
    <n v="10044"/>
    <x v="39"/>
    <s v="Sneha"/>
    <x v="1"/>
    <x v="1"/>
    <x v="3"/>
    <x v="4"/>
    <n v="15"/>
    <n v="640"/>
    <n v="15"/>
    <n v="8160"/>
    <n v="6772"/>
    <n v="1388"/>
    <x v="3"/>
    <x v="2"/>
  </r>
  <r>
    <n v="10045"/>
    <x v="40"/>
    <s v="Sara"/>
    <x v="0"/>
    <x v="0"/>
    <x v="8"/>
    <x v="6"/>
    <n v="4"/>
    <n v="1090"/>
    <n v="0"/>
    <n v="4360"/>
    <n v="2398"/>
    <n v="1962"/>
    <x v="3"/>
    <x v="2"/>
  </r>
  <r>
    <n v="10046"/>
    <x v="2"/>
    <s v="Vivek"/>
    <x v="1"/>
    <x v="0"/>
    <x v="1"/>
    <x v="1"/>
    <n v="9"/>
    <n v="1730"/>
    <n v="10"/>
    <n v="14013"/>
    <n v="10089"/>
    <n v="3924"/>
    <x v="3"/>
    <x v="3"/>
  </r>
  <r>
    <n v="10047"/>
    <x v="41"/>
    <s v="Riya"/>
    <x v="0"/>
    <x v="1"/>
    <x v="11"/>
    <x v="1"/>
    <n v="15"/>
    <n v="760"/>
    <n v="10"/>
    <n v="10260"/>
    <n v="7387"/>
    <n v="2873"/>
    <x v="3"/>
    <x v="1"/>
  </r>
  <r>
    <n v="10048"/>
    <x v="42"/>
    <s v="Kiran"/>
    <x v="3"/>
    <x v="2"/>
    <x v="12"/>
    <x v="3"/>
    <n v="4"/>
    <n v="390"/>
    <n v="15"/>
    <n v="1326"/>
    <n v="967"/>
    <n v="359"/>
    <x v="0"/>
    <x v="1"/>
  </r>
  <r>
    <n v="10049"/>
    <x v="43"/>
    <s v="Sara"/>
    <x v="1"/>
    <x v="0"/>
    <x v="1"/>
    <x v="5"/>
    <n v="13"/>
    <n v="1050"/>
    <n v="20"/>
    <n v="10920"/>
    <n v="8736"/>
    <n v="2184"/>
    <x v="3"/>
    <x v="0"/>
  </r>
  <r>
    <n v="10050"/>
    <x v="44"/>
    <s v="Sneha"/>
    <x v="1"/>
    <x v="0"/>
    <x v="8"/>
    <x v="0"/>
    <n v="4"/>
    <n v="730"/>
    <n v="0"/>
    <n v="2920"/>
    <n v="1898"/>
    <n v="1022"/>
    <x v="3"/>
    <x v="0"/>
  </r>
  <r>
    <n v="10051"/>
    <x v="45"/>
    <s v="Anjali"/>
    <x v="3"/>
    <x v="0"/>
    <x v="8"/>
    <x v="3"/>
    <n v="12"/>
    <n v="680"/>
    <n v="15"/>
    <n v="6936"/>
    <n v="5271"/>
    <n v="1665"/>
    <x v="1"/>
    <x v="3"/>
  </r>
  <r>
    <n v="10052"/>
    <x v="46"/>
    <s v="Vivek"/>
    <x v="0"/>
    <x v="2"/>
    <x v="6"/>
    <x v="4"/>
    <n v="7"/>
    <n v="580"/>
    <n v="10"/>
    <n v="3654"/>
    <n v="2521"/>
    <n v="1133"/>
    <x v="3"/>
    <x v="4"/>
  </r>
  <r>
    <n v="10053"/>
    <x v="47"/>
    <s v="Amit"/>
    <x v="0"/>
    <x v="0"/>
    <x v="0"/>
    <x v="1"/>
    <n v="6"/>
    <n v="240"/>
    <n v="20"/>
    <n v="1152"/>
    <n v="956"/>
    <n v="196"/>
    <x v="0"/>
    <x v="0"/>
  </r>
  <r>
    <n v="10054"/>
    <x v="48"/>
    <s v="Sara"/>
    <x v="2"/>
    <x v="0"/>
    <x v="8"/>
    <x v="5"/>
    <n v="8"/>
    <n v="1150"/>
    <n v="0"/>
    <n v="9200"/>
    <n v="5796"/>
    <n v="3404"/>
    <x v="2"/>
    <x v="2"/>
  </r>
  <r>
    <n v="10055"/>
    <x v="49"/>
    <s v="Amit"/>
    <x v="2"/>
    <x v="2"/>
    <x v="9"/>
    <x v="5"/>
    <n v="3"/>
    <n v="1840"/>
    <n v="10"/>
    <n v="4968"/>
    <n v="3576"/>
    <n v="1392"/>
    <x v="1"/>
    <x v="3"/>
  </r>
  <r>
    <n v="10056"/>
    <x v="50"/>
    <s v="Amit"/>
    <x v="3"/>
    <x v="2"/>
    <x v="6"/>
    <x v="6"/>
    <n v="3"/>
    <n v="340"/>
    <n v="10"/>
    <n v="918"/>
    <n v="660"/>
    <n v="258"/>
    <x v="1"/>
    <x v="2"/>
  </r>
  <r>
    <n v="10057"/>
    <x v="51"/>
    <s v="Sara"/>
    <x v="2"/>
    <x v="0"/>
    <x v="1"/>
    <x v="1"/>
    <n v="14"/>
    <n v="430"/>
    <n v="10"/>
    <n v="5418"/>
    <n v="4551"/>
    <n v="867"/>
    <x v="1"/>
    <x v="1"/>
  </r>
  <r>
    <n v="10058"/>
    <x v="52"/>
    <s v="Sneha"/>
    <x v="2"/>
    <x v="1"/>
    <x v="4"/>
    <x v="6"/>
    <n v="3"/>
    <n v="510"/>
    <n v="20"/>
    <n v="1224"/>
    <n v="856"/>
    <n v="368"/>
    <x v="0"/>
    <x v="0"/>
  </r>
  <r>
    <n v="10059"/>
    <x v="53"/>
    <s v="Kiran"/>
    <x v="3"/>
    <x v="1"/>
    <x v="13"/>
    <x v="6"/>
    <n v="14"/>
    <n v="780"/>
    <n v="20"/>
    <n v="8736"/>
    <n v="4892"/>
    <n v="3844"/>
    <x v="2"/>
    <x v="0"/>
  </r>
  <r>
    <n v="10060"/>
    <x v="54"/>
    <s v="Amit"/>
    <x v="0"/>
    <x v="0"/>
    <x v="10"/>
    <x v="5"/>
    <n v="11"/>
    <n v="980"/>
    <n v="5"/>
    <n v="10241"/>
    <n v="8500"/>
    <n v="1741"/>
    <x v="1"/>
    <x v="4"/>
  </r>
  <r>
    <n v="10061"/>
    <x v="55"/>
    <s v="Amit"/>
    <x v="0"/>
    <x v="0"/>
    <x v="0"/>
    <x v="5"/>
    <n v="12"/>
    <n v="1140"/>
    <n v="20"/>
    <n v="10944"/>
    <n v="6675"/>
    <n v="4269"/>
    <x v="2"/>
    <x v="2"/>
  </r>
  <r>
    <n v="10062"/>
    <x v="56"/>
    <s v="Neha"/>
    <x v="1"/>
    <x v="1"/>
    <x v="13"/>
    <x v="4"/>
    <n v="11"/>
    <n v="900"/>
    <n v="10"/>
    <n v="8910"/>
    <n v="7128"/>
    <n v="1782"/>
    <x v="1"/>
    <x v="4"/>
  </r>
  <r>
    <n v="10063"/>
    <x v="57"/>
    <s v="Kiran"/>
    <x v="2"/>
    <x v="2"/>
    <x v="7"/>
    <x v="6"/>
    <n v="6"/>
    <n v="1500"/>
    <n v="5"/>
    <n v="8550"/>
    <n v="7182"/>
    <n v="1368"/>
    <x v="3"/>
    <x v="4"/>
  </r>
  <r>
    <n v="10064"/>
    <x v="58"/>
    <s v="Vivek"/>
    <x v="1"/>
    <x v="2"/>
    <x v="6"/>
    <x v="2"/>
    <n v="4"/>
    <n v="600"/>
    <n v="10"/>
    <n v="2160"/>
    <n v="1382"/>
    <n v="778"/>
    <x v="1"/>
    <x v="2"/>
  </r>
  <r>
    <n v="10065"/>
    <x v="59"/>
    <s v="Kiran"/>
    <x v="3"/>
    <x v="0"/>
    <x v="0"/>
    <x v="4"/>
    <n v="10"/>
    <n v="910"/>
    <n v="20"/>
    <n v="7280"/>
    <n v="6042"/>
    <n v="1238"/>
    <x v="3"/>
    <x v="0"/>
  </r>
  <r>
    <n v="10066"/>
    <x v="15"/>
    <s v="Sara"/>
    <x v="0"/>
    <x v="1"/>
    <x v="11"/>
    <x v="1"/>
    <n v="4"/>
    <n v="570"/>
    <n v="10"/>
    <n v="2052"/>
    <n v="1415"/>
    <n v="637"/>
    <x v="0"/>
    <x v="0"/>
  </r>
  <r>
    <n v="10067"/>
    <x v="60"/>
    <s v="Kiran"/>
    <x v="2"/>
    <x v="1"/>
    <x v="11"/>
    <x v="3"/>
    <n v="5"/>
    <n v="1800"/>
    <n v="0"/>
    <n v="9000"/>
    <n v="7290"/>
    <n v="1710"/>
    <x v="0"/>
    <x v="4"/>
  </r>
  <r>
    <n v="10068"/>
    <x v="60"/>
    <s v="Vivek"/>
    <x v="1"/>
    <x v="2"/>
    <x v="9"/>
    <x v="5"/>
    <n v="14"/>
    <n v="390"/>
    <n v="0"/>
    <n v="5460"/>
    <n v="3494"/>
    <n v="1966"/>
    <x v="0"/>
    <x v="3"/>
  </r>
  <r>
    <n v="10069"/>
    <x v="61"/>
    <s v="Sara"/>
    <x v="3"/>
    <x v="2"/>
    <x v="9"/>
    <x v="5"/>
    <n v="11"/>
    <n v="1130"/>
    <n v="15"/>
    <n v="10565.5"/>
    <n v="6550"/>
    <n v="4015.5"/>
    <x v="3"/>
    <x v="2"/>
  </r>
  <r>
    <n v="10070"/>
    <x v="62"/>
    <s v="Sara"/>
    <x v="2"/>
    <x v="0"/>
    <x v="2"/>
    <x v="1"/>
    <n v="9"/>
    <n v="1260"/>
    <n v="0"/>
    <n v="11340"/>
    <n v="7030"/>
    <n v="4310"/>
    <x v="3"/>
    <x v="3"/>
  </r>
  <r>
    <n v="10071"/>
    <x v="63"/>
    <s v="Riya"/>
    <x v="1"/>
    <x v="1"/>
    <x v="4"/>
    <x v="6"/>
    <n v="2"/>
    <n v="650"/>
    <n v="5"/>
    <n v="1235"/>
    <n v="679"/>
    <n v="556"/>
    <x v="2"/>
    <x v="1"/>
  </r>
  <r>
    <n v="10072"/>
    <x v="64"/>
    <s v="Mohit"/>
    <x v="3"/>
    <x v="2"/>
    <x v="6"/>
    <x v="2"/>
    <n v="8"/>
    <n v="1260"/>
    <n v="10"/>
    <n v="9072"/>
    <n v="6804"/>
    <n v="2268"/>
    <x v="2"/>
    <x v="0"/>
  </r>
  <r>
    <n v="10073"/>
    <x v="65"/>
    <s v="Neha"/>
    <x v="1"/>
    <x v="0"/>
    <x v="1"/>
    <x v="3"/>
    <n v="9"/>
    <n v="1770"/>
    <n v="10"/>
    <n v="14337"/>
    <n v="9605"/>
    <n v="4732"/>
    <x v="3"/>
    <x v="0"/>
  </r>
  <r>
    <n v="10074"/>
    <x v="66"/>
    <s v="Vivek"/>
    <x v="1"/>
    <x v="1"/>
    <x v="11"/>
    <x v="4"/>
    <n v="7"/>
    <n v="280"/>
    <n v="0"/>
    <n v="1960"/>
    <n v="1313"/>
    <n v="647"/>
    <x v="0"/>
    <x v="4"/>
  </r>
  <r>
    <n v="10075"/>
    <x v="67"/>
    <s v="Mohit"/>
    <x v="3"/>
    <x v="1"/>
    <x v="13"/>
    <x v="4"/>
    <n v="1"/>
    <n v="240"/>
    <n v="10"/>
    <n v="216"/>
    <n v="140"/>
    <n v="76"/>
    <x v="2"/>
    <x v="2"/>
  </r>
  <r>
    <n v="10077"/>
    <x v="68"/>
    <s v="Neha"/>
    <x v="3"/>
    <x v="0"/>
    <x v="0"/>
    <x v="0"/>
    <n v="7"/>
    <n v="1830"/>
    <n v="10"/>
    <n v="11529"/>
    <n v="7263"/>
    <n v="4266"/>
    <x v="3"/>
    <x v="0"/>
  </r>
  <r>
    <n v="10078"/>
    <x v="69"/>
    <s v="Amit"/>
    <x v="2"/>
    <x v="1"/>
    <x v="4"/>
    <x v="3"/>
    <n v="3"/>
    <n v="500"/>
    <n v="0"/>
    <n v="1500"/>
    <n v="1215"/>
    <n v="285"/>
    <x v="1"/>
    <x v="3"/>
  </r>
  <r>
    <n v="10080"/>
    <x v="70"/>
    <s v="Kiran"/>
    <x v="3"/>
    <x v="2"/>
    <x v="9"/>
    <x v="4"/>
    <n v="1"/>
    <n v="1660"/>
    <n v="5"/>
    <n v="1577"/>
    <n v="1103"/>
    <n v="474"/>
    <x v="1"/>
    <x v="1"/>
  </r>
  <r>
    <n v="10081"/>
    <x v="71"/>
    <s v="Nikhil"/>
    <x v="0"/>
    <x v="1"/>
    <x v="3"/>
    <x v="2"/>
    <n v="6"/>
    <n v="880"/>
    <n v="15"/>
    <n v="4488"/>
    <n v="3500"/>
    <n v="988"/>
    <x v="0"/>
    <x v="3"/>
  </r>
  <r>
    <n v="10082"/>
    <x v="72"/>
    <s v="Vivek"/>
    <x v="1"/>
    <x v="2"/>
    <x v="9"/>
    <x v="3"/>
    <n v="13"/>
    <n v="370"/>
    <n v="5"/>
    <n v="4569.5"/>
    <n v="2878"/>
    <n v="1691.5"/>
    <x v="1"/>
    <x v="0"/>
  </r>
  <r>
    <n v="10083"/>
    <x v="73"/>
    <s v="Amit"/>
    <x v="2"/>
    <x v="1"/>
    <x v="11"/>
    <x v="3"/>
    <n v="5"/>
    <n v="1840"/>
    <n v="20"/>
    <n v="7360"/>
    <n v="4636"/>
    <n v="2724"/>
    <x v="2"/>
    <x v="2"/>
  </r>
  <r>
    <n v="10084"/>
    <x v="74"/>
    <s v="Kiran"/>
    <x v="1"/>
    <x v="1"/>
    <x v="13"/>
    <x v="5"/>
    <n v="15"/>
    <n v="630"/>
    <n v="0"/>
    <n v="9450"/>
    <n v="5575"/>
    <n v="3875"/>
    <x v="2"/>
    <x v="0"/>
  </r>
  <r>
    <n v="10085"/>
    <x v="75"/>
    <s v="Neha"/>
    <x v="1"/>
    <x v="1"/>
    <x v="13"/>
    <x v="2"/>
    <n v="3"/>
    <n v="1600"/>
    <n v="15"/>
    <n v="4080"/>
    <n v="3304"/>
    <n v="776"/>
    <x v="0"/>
    <x v="1"/>
  </r>
  <r>
    <n v="10086"/>
    <x v="76"/>
    <s v="Sara"/>
    <x v="0"/>
    <x v="0"/>
    <x v="2"/>
    <x v="4"/>
    <n v="10"/>
    <n v="550"/>
    <n v="10"/>
    <n v="4950"/>
    <n v="2871"/>
    <n v="2079"/>
    <x v="1"/>
    <x v="3"/>
  </r>
  <r>
    <n v="10087"/>
    <x v="27"/>
    <s v="Vivek"/>
    <x v="0"/>
    <x v="0"/>
    <x v="1"/>
    <x v="2"/>
    <n v="15"/>
    <n v="520"/>
    <n v="10"/>
    <n v="7020"/>
    <n v="4141"/>
    <n v="2879"/>
    <x v="3"/>
    <x v="1"/>
  </r>
  <r>
    <n v="10088"/>
    <x v="77"/>
    <s v="Anjali"/>
    <x v="2"/>
    <x v="1"/>
    <x v="11"/>
    <x v="6"/>
    <n v="3"/>
    <n v="1690"/>
    <n v="0"/>
    <n v="5070"/>
    <n v="3498"/>
    <n v="1572"/>
    <x v="3"/>
    <x v="4"/>
  </r>
  <r>
    <n v="10089"/>
    <x v="78"/>
    <s v="Kiran"/>
    <x v="2"/>
    <x v="1"/>
    <x v="13"/>
    <x v="3"/>
    <n v="12"/>
    <n v="570"/>
    <n v="10"/>
    <n v="6156"/>
    <n v="4432"/>
    <n v="1724"/>
    <x v="2"/>
    <x v="3"/>
  </r>
  <r>
    <n v="10090"/>
    <x v="79"/>
    <s v="Amit"/>
    <x v="1"/>
    <x v="0"/>
    <x v="2"/>
    <x v="1"/>
    <n v="2"/>
    <n v="1990"/>
    <n v="15"/>
    <n v="3383"/>
    <n v="2131"/>
    <n v="1252"/>
    <x v="3"/>
    <x v="2"/>
  </r>
  <r>
    <n v="10091"/>
    <x v="80"/>
    <s v="Mohit"/>
    <x v="3"/>
    <x v="2"/>
    <x v="9"/>
    <x v="4"/>
    <n v="4"/>
    <n v="1750"/>
    <n v="10"/>
    <n v="6300"/>
    <n v="3654"/>
    <n v="2646"/>
    <x v="2"/>
    <x v="3"/>
  </r>
  <r>
    <n v="10092"/>
    <x v="81"/>
    <s v="Anjali"/>
    <x v="2"/>
    <x v="2"/>
    <x v="9"/>
    <x v="3"/>
    <n v="1"/>
    <n v="770"/>
    <n v="5"/>
    <n v="731.5"/>
    <n v="614"/>
    <n v="117.5"/>
    <x v="1"/>
    <x v="3"/>
  </r>
  <r>
    <n v="10093"/>
    <x v="82"/>
    <s v="Kiran"/>
    <x v="0"/>
    <x v="0"/>
    <x v="2"/>
    <x v="5"/>
    <n v="13"/>
    <n v="1240"/>
    <n v="15"/>
    <n v="13702"/>
    <n v="9591"/>
    <n v="4111"/>
    <x v="0"/>
    <x v="0"/>
  </r>
  <r>
    <n v="10094"/>
    <x v="83"/>
    <s v="Anjali"/>
    <x v="0"/>
    <x v="2"/>
    <x v="7"/>
    <x v="0"/>
    <n v="15"/>
    <n v="1850"/>
    <n v="0"/>
    <n v="27750"/>
    <n v="17760"/>
    <n v="9990"/>
    <x v="3"/>
    <x v="2"/>
  </r>
  <r>
    <n v="10095"/>
    <x v="84"/>
    <s v="Sneha"/>
    <x v="1"/>
    <x v="1"/>
    <x v="3"/>
    <x v="2"/>
    <n v="13"/>
    <n v="1180"/>
    <n v="5"/>
    <n v="14573"/>
    <n v="8306"/>
    <n v="6267"/>
    <x v="0"/>
    <x v="0"/>
  </r>
  <r>
    <n v="10096"/>
    <x v="85"/>
    <s v="Kiran"/>
    <x v="2"/>
    <x v="2"/>
    <x v="6"/>
    <x v="3"/>
    <n v="8"/>
    <n v="1990"/>
    <n v="5"/>
    <n v="15124"/>
    <n v="11343"/>
    <n v="3781"/>
    <x v="1"/>
    <x v="4"/>
  </r>
  <r>
    <n v="10097"/>
    <x v="86"/>
    <s v="Mohit"/>
    <x v="3"/>
    <x v="2"/>
    <x v="9"/>
    <x v="1"/>
    <n v="13"/>
    <n v="1520"/>
    <n v="15"/>
    <n v="16796"/>
    <n v="12093"/>
    <n v="4703"/>
    <x v="1"/>
    <x v="4"/>
  </r>
  <r>
    <n v="10098"/>
    <x v="87"/>
    <s v="Amit"/>
    <x v="0"/>
    <x v="0"/>
    <x v="1"/>
    <x v="3"/>
    <n v="12"/>
    <n v="440"/>
    <n v="5"/>
    <n v="5016"/>
    <n v="3009"/>
    <n v="2007"/>
    <x v="3"/>
    <x v="4"/>
  </r>
  <r>
    <n v="10099"/>
    <x v="88"/>
    <s v="Riya"/>
    <x v="0"/>
    <x v="0"/>
    <x v="0"/>
    <x v="0"/>
    <n v="14"/>
    <n v="220"/>
    <n v="0"/>
    <n v="3080"/>
    <n v="2402"/>
    <n v="678"/>
    <x v="1"/>
    <x v="3"/>
  </r>
  <r>
    <n v="10100"/>
    <x v="89"/>
    <s v="Sara"/>
    <x v="2"/>
    <x v="2"/>
    <x v="6"/>
    <x v="3"/>
    <n v="8"/>
    <n v="1990"/>
    <n v="0"/>
    <n v="15920"/>
    <n v="11144"/>
    <n v="4776"/>
    <x v="1"/>
    <x v="2"/>
  </r>
  <r>
    <n v="10101"/>
    <x v="26"/>
    <s v="Vivek"/>
    <x v="3"/>
    <x v="0"/>
    <x v="2"/>
    <x v="4"/>
    <n v="5"/>
    <n v="920"/>
    <n v="5"/>
    <n v="4370"/>
    <n v="3059"/>
    <n v="1311"/>
    <x v="3"/>
    <x v="1"/>
  </r>
  <r>
    <n v="10102"/>
    <x v="90"/>
    <s v="Kiran"/>
    <x v="1"/>
    <x v="1"/>
    <x v="11"/>
    <x v="6"/>
    <n v="11"/>
    <n v="1430"/>
    <n v="5"/>
    <n v="14943.5"/>
    <n v="12403"/>
    <n v="2540.5"/>
    <x v="1"/>
    <x v="0"/>
  </r>
  <r>
    <n v="10103"/>
    <x v="91"/>
    <s v="Mohit"/>
    <x v="1"/>
    <x v="2"/>
    <x v="5"/>
    <x v="1"/>
    <n v="6"/>
    <n v="2000"/>
    <n v="0"/>
    <n v="12000"/>
    <n v="6720"/>
    <n v="5280"/>
    <x v="1"/>
    <x v="4"/>
  </r>
  <r>
    <n v="10104"/>
    <x v="92"/>
    <s v="Riya"/>
    <x v="1"/>
    <x v="2"/>
    <x v="7"/>
    <x v="4"/>
    <n v="13"/>
    <n v="2000"/>
    <n v="10"/>
    <n v="23400"/>
    <n v="16380"/>
    <n v="7020"/>
    <x v="2"/>
    <x v="0"/>
  </r>
  <r>
    <n v="10106"/>
    <x v="24"/>
    <s v="Vivek"/>
    <x v="3"/>
    <x v="2"/>
    <x v="6"/>
    <x v="3"/>
    <n v="15"/>
    <n v="640"/>
    <n v="5"/>
    <n v="9120"/>
    <n v="5107"/>
    <n v="4013"/>
    <x v="3"/>
    <x v="0"/>
  </r>
  <r>
    <n v="10107"/>
    <x v="93"/>
    <s v="Kiran"/>
    <x v="3"/>
    <x v="0"/>
    <x v="10"/>
    <x v="5"/>
    <n v="12"/>
    <n v="250"/>
    <n v="10"/>
    <n v="2700"/>
    <n v="1917"/>
    <n v="783"/>
    <x v="3"/>
    <x v="2"/>
  </r>
  <r>
    <n v="10108"/>
    <x v="94"/>
    <s v="Riya"/>
    <x v="0"/>
    <x v="0"/>
    <x v="0"/>
    <x v="4"/>
    <n v="11"/>
    <n v="1830"/>
    <n v="0"/>
    <n v="20130"/>
    <n v="14091"/>
    <n v="6039"/>
    <x v="1"/>
    <x v="4"/>
  </r>
  <r>
    <n v="10109"/>
    <x v="95"/>
    <s v="Mohit"/>
    <x v="2"/>
    <x v="2"/>
    <x v="12"/>
    <x v="3"/>
    <n v="13"/>
    <n v="510"/>
    <n v="15"/>
    <n v="5635.5"/>
    <n v="3663"/>
    <n v="1972.5"/>
    <x v="2"/>
    <x v="2"/>
  </r>
  <r>
    <n v="10110"/>
    <x v="96"/>
    <s v="Neha"/>
    <x v="0"/>
    <x v="0"/>
    <x v="8"/>
    <x v="5"/>
    <n v="14"/>
    <n v="1160"/>
    <n v="10"/>
    <n v="14616"/>
    <n v="8038"/>
    <n v="6578"/>
    <x v="0"/>
    <x v="1"/>
  </r>
  <r>
    <n v="10111"/>
    <x v="97"/>
    <s v="Vivek"/>
    <x v="1"/>
    <x v="1"/>
    <x v="4"/>
    <x v="6"/>
    <n v="12"/>
    <n v="1360"/>
    <n v="0"/>
    <n v="16320"/>
    <n v="13219"/>
    <n v="3101"/>
    <x v="2"/>
    <x v="3"/>
  </r>
  <r>
    <n v="10112"/>
    <x v="98"/>
    <s v="Sneha"/>
    <x v="2"/>
    <x v="2"/>
    <x v="6"/>
    <x v="5"/>
    <n v="3"/>
    <n v="490"/>
    <n v="20"/>
    <n v="1176"/>
    <n v="858"/>
    <n v="318"/>
    <x v="1"/>
    <x v="1"/>
  </r>
  <r>
    <n v="10114"/>
    <x v="99"/>
    <s v="Amit"/>
    <x v="1"/>
    <x v="0"/>
    <x v="0"/>
    <x v="4"/>
    <n v="12"/>
    <n v="410"/>
    <n v="5"/>
    <n v="4674"/>
    <n v="3879"/>
    <n v="795"/>
    <x v="0"/>
    <x v="4"/>
  </r>
  <r>
    <n v="10115"/>
    <x v="100"/>
    <s v="Neha"/>
    <x v="2"/>
    <x v="0"/>
    <x v="0"/>
    <x v="5"/>
    <n v="8"/>
    <n v="1420"/>
    <n v="0"/>
    <n v="11360"/>
    <n v="8974"/>
    <n v="2386"/>
    <x v="2"/>
    <x v="1"/>
  </r>
  <r>
    <n v="10116"/>
    <x v="101"/>
    <s v="Neha"/>
    <x v="1"/>
    <x v="0"/>
    <x v="2"/>
    <x v="4"/>
    <n v="1"/>
    <n v="840"/>
    <n v="5"/>
    <n v="798"/>
    <n v="566"/>
    <n v="232"/>
    <x v="1"/>
    <x v="3"/>
  </r>
  <r>
    <n v="10117"/>
    <x v="102"/>
    <s v="Neha"/>
    <x v="1"/>
    <x v="2"/>
    <x v="9"/>
    <x v="2"/>
    <n v="12"/>
    <n v="360"/>
    <n v="0"/>
    <n v="4320"/>
    <n v="2764"/>
    <n v="1556"/>
    <x v="0"/>
    <x v="1"/>
  </r>
  <r>
    <n v="10118"/>
    <x v="24"/>
    <s v="Neha"/>
    <x v="3"/>
    <x v="0"/>
    <x v="0"/>
    <x v="0"/>
    <n v="6"/>
    <n v="1490"/>
    <n v="20"/>
    <n v="7152"/>
    <n v="5578"/>
    <n v="1574"/>
    <x v="3"/>
    <x v="4"/>
  </r>
  <r>
    <n v="10119"/>
    <x v="103"/>
    <s v="Sneha"/>
    <x v="1"/>
    <x v="0"/>
    <x v="0"/>
    <x v="6"/>
    <n v="5"/>
    <n v="1960"/>
    <n v="20"/>
    <n v="7840"/>
    <n v="5880"/>
    <n v="1960"/>
    <x v="3"/>
    <x v="1"/>
  </r>
  <r>
    <n v="10120"/>
    <x v="104"/>
    <s v="Amit"/>
    <x v="2"/>
    <x v="2"/>
    <x v="7"/>
    <x v="6"/>
    <n v="14"/>
    <n v="1170"/>
    <n v="15"/>
    <n v="13923"/>
    <n v="9467"/>
    <n v="4456"/>
    <x v="3"/>
    <x v="2"/>
  </r>
  <r>
    <n v="10121"/>
    <x v="1"/>
    <s v="Sneha"/>
    <x v="3"/>
    <x v="0"/>
    <x v="10"/>
    <x v="2"/>
    <n v="11"/>
    <n v="1820"/>
    <n v="10"/>
    <n v="18018"/>
    <n v="14054"/>
    <n v="3964"/>
    <x v="3"/>
    <x v="0"/>
  </r>
  <r>
    <n v="10122"/>
    <x v="105"/>
    <s v="Anjali"/>
    <x v="0"/>
    <x v="0"/>
    <x v="0"/>
    <x v="1"/>
    <n v="10"/>
    <n v="970"/>
    <n v="5"/>
    <n v="9215"/>
    <n v="5713"/>
    <n v="3502"/>
    <x v="2"/>
    <x v="2"/>
  </r>
  <r>
    <n v="10123"/>
    <x v="106"/>
    <s v="Mohit"/>
    <x v="3"/>
    <x v="0"/>
    <x v="2"/>
    <x v="3"/>
    <n v="4"/>
    <n v="1410"/>
    <n v="15"/>
    <n v="4794"/>
    <n v="3835"/>
    <n v="959"/>
    <x v="3"/>
    <x v="3"/>
  </r>
  <r>
    <n v="10124"/>
    <x v="107"/>
    <s v="Sara"/>
    <x v="0"/>
    <x v="0"/>
    <x v="0"/>
    <x v="2"/>
    <n v="12"/>
    <n v="560"/>
    <n v="0"/>
    <n v="6720"/>
    <n v="4233"/>
    <n v="2487"/>
    <x v="3"/>
    <x v="1"/>
  </r>
  <r>
    <n v="10125"/>
    <x v="57"/>
    <s v="Amit"/>
    <x v="3"/>
    <x v="1"/>
    <x v="3"/>
    <x v="3"/>
    <n v="14"/>
    <n v="1360"/>
    <n v="5"/>
    <n v="18088"/>
    <n v="14108"/>
    <n v="3980"/>
    <x v="2"/>
    <x v="4"/>
  </r>
  <r>
    <n v="10126"/>
    <x v="108"/>
    <s v="Anjali"/>
    <x v="1"/>
    <x v="1"/>
    <x v="4"/>
    <x v="0"/>
    <n v="2"/>
    <n v="1250"/>
    <n v="5"/>
    <n v="2375"/>
    <n v="1377"/>
    <n v="998"/>
    <x v="1"/>
    <x v="1"/>
  </r>
  <r>
    <n v="10127"/>
    <x v="109"/>
    <s v="Mohit"/>
    <x v="1"/>
    <x v="0"/>
    <x v="1"/>
    <x v="2"/>
    <n v="6"/>
    <n v="1920"/>
    <n v="15"/>
    <n v="9792"/>
    <n v="7539"/>
    <n v="2253"/>
    <x v="3"/>
    <x v="3"/>
  </r>
  <r>
    <n v="10128"/>
    <x v="110"/>
    <s v="Mohit"/>
    <x v="2"/>
    <x v="0"/>
    <x v="1"/>
    <x v="2"/>
    <n v="12"/>
    <n v="440"/>
    <n v="0"/>
    <n v="5280"/>
    <n v="3273"/>
    <n v="2007"/>
    <x v="1"/>
    <x v="3"/>
  </r>
  <r>
    <n v="10129"/>
    <x v="111"/>
    <s v="Mohit"/>
    <x v="2"/>
    <x v="2"/>
    <x v="7"/>
    <x v="1"/>
    <n v="5"/>
    <n v="1870"/>
    <n v="0"/>
    <n v="9350"/>
    <n v="7760"/>
    <n v="1590"/>
    <x v="3"/>
    <x v="4"/>
  </r>
  <r>
    <n v="10130"/>
    <x v="112"/>
    <s v="Anjali"/>
    <x v="0"/>
    <x v="1"/>
    <x v="11"/>
    <x v="4"/>
    <n v="14"/>
    <n v="1640"/>
    <n v="0"/>
    <n v="22960"/>
    <n v="17908"/>
    <n v="5052"/>
    <x v="3"/>
    <x v="4"/>
  </r>
  <r>
    <n v="10131"/>
    <x v="113"/>
    <s v="Kiran"/>
    <x v="2"/>
    <x v="1"/>
    <x v="13"/>
    <x v="0"/>
    <n v="1"/>
    <n v="1190"/>
    <n v="20"/>
    <n v="952"/>
    <n v="685"/>
    <n v="267"/>
    <x v="0"/>
    <x v="1"/>
  </r>
  <r>
    <n v="10132"/>
    <x v="81"/>
    <s v="Sara"/>
    <x v="1"/>
    <x v="2"/>
    <x v="9"/>
    <x v="2"/>
    <n v="12"/>
    <n v="210"/>
    <n v="5"/>
    <n v="2394"/>
    <n v="1987"/>
    <n v="407"/>
    <x v="3"/>
    <x v="2"/>
  </r>
  <r>
    <n v="10133"/>
    <x v="114"/>
    <s v="Mohit"/>
    <x v="1"/>
    <x v="2"/>
    <x v="6"/>
    <x v="0"/>
    <n v="8"/>
    <n v="1100"/>
    <n v="0"/>
    <n v="8800"/>
    <n v="4840"/>
    <n v="3960"/>
    <x v="3"/>
    <x v="0"/>
  </r>
  <r>
    <n v="10134"/>
    <x v="86"/>
    <s v="Neha"/>
    <x v="1"/>
    <x v="2"/>
    <x v="12"/>
    <x v="4"/>
    <n v="3"/>
    <n v="620"/>
    <n v="15"/>
    <n v="1581"/>
    <n v="996"/>
    <n v="585"/>
    <x v="3"/>
    <x v="2"/>
  </r>
  <r>
    <n v="10135"/>
    <x v="115"/>
    <s v="Anjali"/>
    <x v="2"/>
    <x v="2"/>
    <x v="7"/>
    <x v="3"/>
    <n v="2"/>
    <n v="1610"/>
    <n v="20"/>
    <n v="2576"/>
    <n v="1494"/>
    <n v="1082"/>
    <x v="0"/>
    <x v="0"/>
  </r>
  <r>
    <n v="10136"/>
    <x v="116"/>
    <s v="Riya"/>
    <x v="2"/>
    <x v="2"/>
    <x v="7"/>
    <x v="2"/>
    <n v="4"/>
    <n v="480"/>
    <n v="5"/>
    <n v="1824"/>
    <n v="1459"/>
    <n v="365"/>
    <x v="2"/>
    <x v="4"/>
  </r>
  <r>
    <n v="10137"/>
    <x v="117"/>
    <s v="Riya"/>
    <x v="0"/>
    <x v="2"/>
    <x v="7"/>
    <x v="6"/>
    <n v="2"/>
    <n v="400"/>
    <n v="0"/>
    <n v="800"/>
    <n v="616"/>
    <n v="184"/>
    <x v="2"/>
    <x v="1"/>
  </r>
  <r>
    <n v="10138"/>
    <x v="118"/>
    <s v="Vivek"/>
    <x v="2"/>
    <x v="0"/>
    <x v="0"/>
    <x v="4"/>
    <n v="13"/>
    <n v="1000"/>
    <n v="10"/>
    <n v="11700"/>
    <n v="7137"/>
    <n v="4563"/>
    <x v="2"/>
    <x v="0"/>
  </r>
  <r>
    <n v="10139"/>
    <x v="119"/>
    <s v="Kiran"/>
    <x v="1"/>
    <x v="0"/>
    <x v="2"/>
    <x v="1"/>
    <n v="10"/>
    <n v="1550"/>
    <n v="20"/>
    <n v="12400"/>
    <n v="8928"/>
    <n v="3472"/>
    <x v="3"/>
    <x v="2"/>
  </r>
  <r>
    <n v="10140"/>
    <x v="120"/>
    <s v="Mohit"/>
    <x v="0"/>
    <x v="2"/>
    <x v="9"/>
    <x v="6"/>
    <n v="5"/>
    <n v="540"/>
    <n v="5"/>
    <n v="2565"/>
    <n v="2103"/>
    <n v="462"/>
    <x v="0"/>
    <x v="3"/>
  </r>
  <r>
    <n v="10141"/>
    <x v="121"/>
    <s v="Vivek"/>
    <x v="1"/>
    <x v="1"/>
    <x v="11"/>
    <x v="6"/>
    <n v="15"/>
    <n v="280"/>
    <n v="20"/>
    <n v="3360"/>
    <n v="1948"/>
    <n v="1412"/>
    <x v="2"/>
    <x v="2"/>
  </r>
  <r>
    <n v="10142"/>
    <x v="97"/>
    <s v="Vivek"/>
    <x v="1"/>
    <x v="1"/>
    <x v="11"/>
    <x v="6"/>
    <n v="4"/>
    <n v="1730"/>
    <n v="20"/>
    <n v="5536"/>
    <n v="3376"/>
    <n v="2160"/>
    <x v="0"/>
    <x v="4"/>
  </r>
  <r>
    <n v="10143"/>
    <x v="122"/>
    <s v="Nikhil"/>
    <x v="1"/>
    <x v="1"/>
    <x v="11"/>
    <x v="1"/>
    <n v="2"/>
    <n v="550"/>
    <n v="0"/>
    <n v="1100"/>
    <n v="902"/>
    <n v="198"/>
    <x v="2"/>
    <x v="4"/>
  </r>
  <r>
    <n v="10144"/>
    <x v="123"/>
    <s v="Riya"/>
    <x v="3"/>
    <x v="0"/>
    <x v="0"/>
    <x v="0"/>
    <n v="4"/>
    <n v="1660"/>
    <n v="20"/>
    <n v="5312"/>
    <n v="3559"/>
    <n v="1753"/>
    <x v="3"/>
    <x v="1"/>
  </r>
  <r>
    <n v="10145"/>
    <x v="124"/>
    <s v="Kiran"/>
    <x v="3"/>
    <x v="0"/>
    <x v="8"/>
    <x v="1"/>
    <n v="15"/>
    <n v="1830"/>
    <n v="0"/>
    <n v="27450"/>
    <n v="22234"/>
    <n v="5216"/>
    <x v="1"/>
    <x v="1"/>
  </r>
  <r>
    <n v="10146"/>
    <x v="125"/>
    <s v="Neha"/>
    <x v="3"/>
    <x v="0"/>
    <x v="8"/>
    <x v="2"/>
    <n v="6"/>
    <n v="1860"/>
    <n v="15"/>
    <n v="9486"/>
    <n v="7588"/>
    <n v="1898"/>
    <x v="1"/>
    <x v="2"/>
  </r>
  <r>
    <n v="10147"/>
    <x v="126"/>
    <s v="Mohit"/>
    <x v="3"/>
    <x v="2"/>
    <x v="5"/>
    <x v="5"/>
    <n v="4"/>
    <n v="580"/>
    <n v="15"/>
    <n v="1972"/>
    <n v="1202"/>
    <n v="770"/>
    <x v="2"/>
    <x v="2"/>
  </r>
  <r>
    <n v="10148"/>
    <x v="127"/>
    <s v="Anjali"/>
    <x v="1"/>
    <x v="1"/>
    <x v="13"/>
    <x v="6"/>
    <n v="11"/>
    <n v="240"/>
    <n v="5"/>
    <n v="2508"/>
    <n v="1981"/>
    <n v="527"/>
    <x v="0"/>
    <x v="4"/>
  </r>
  <r>
    <n v="10150"/>
    <x v="128"/>
    <s v="Kiran"/>
    <x v="0"/>
    <x v="1"/>
    <x v="11"/>
    <x v="6"/>
    <n v="15"/>
    <n v="1680"/>
    <n v="15"/>
    <n v="21420"/>
    <n v="16921"/>
    <n v="4499"/>
    <x v="0"/>
    <x v="1"/>
  </r>
  <r>
    <n v="10151"/>
    <x v="21"/>
    <s v="Anjali"/>
    <x v="2"/>
    <x v="0"/>
    <x v="10"/>
    <x v="3"/>
    <n v="9"/>
    <n v="950"/>
    <n v="10"/>
    <n v="7695"/>
    <n v="5155"/>
    <n v="2540"/>
    <x v="0"/>
    <x v="2"/>
  </r>
  <r>
    <n v="10153"/>
    <x v="129"/>
    <s v="Vivek"/>
    <x v="2"/>
    <x v="1"/>
    <x v="4"/>
    <x v="6"/>
    <n v="3"/>
    <n v="1380"/>
    <n v="10"/>
    <n v="3726"/>
    <n v="2459"/>
    <n v="1267"/>
    <x v="1"/>
    <x v="1"/>
  </r>
  <r>
    <n v="10154"/>
    <x v="130"/>
    <s v="Riya"/>
    <x v="1"/>
    <x v="2"/>
    <x v="9"/>
    <x v="1"/>
    <n v="4"/>
    <n v="800"/>
    <n v="10"/>
    <n v="2880"/>
    <n v="2044"/>
    <n v="836"/>
    <x v="2"/>
    <x v="3"/>
  </r>
  <r>
    <n v="10155"/>
    <x v="131"/>
    <s v="Vivek"/>
    <x v="1"/>
    <x v="0"/>
    <x v="1"/>
    <x v="2"/>
    <n v="13"/>
    <n v="1100"/>
    <n v="5"/>
    <n v="13585"/>
    <n v="10188"/>
    <n v="3397"/>
    <x v="0"/>
    <x v="2"/>
  </r>
  <r>
    <n v="10156"/>
    <x v="132"/>
    <s v="Mohit"/>
    <x v="0"/>
    <x v="0"/>
    <x v="10"/>
    <x v="4"/>
    <n v="1"/>
    <n v="1790"/>
    <n v="5"/>
    <n v="1700.5"/>
    <n v="1428"/>
    <n v="272.5"/>
    <x v="2"/>
    <x v="0"/>
  </r>
  <r>
    <n v="10157"/>
    <x v="85"/>
    <s v="Nikhil"/>
    <x v="1"/>
    <x v="1"/>
    <x v="3"/>
    <x v="6"/>
    <n v="3"/>
    <n v="900"/>
    <n v="15"/>
    <n v="2295"/>
    <n v="1606"/>
    <n v="689"/>
    <x v="1"/>
    <x v="4"/>
  </r>
  <r>
    <n v="10158"/>
    <x v="118"/>
    <s v="Riya"/>
    <x v="0"/>
    <x v="2"/>
    <x v="5"/>
    <x v="0"/>
    <n v="13"/>
    <n v="640"/>
    <n v="20"/>
    <n v="6656"/>
    <n v="4792"/>
    <n v="1864"/>
    <x v="2"/>
    <x v="1"/>
  </r>
  <r>
    <n v="10159"/>
    <x v="123"/>
    <s v="Riya"/>
    <x v="0"/>
    <x v="1"/>
    <x v="3"/>
    <x v="4"/>
    <n v="1"/>
    <n v="1390"/>
    <n v="15"/>
    <n v="1181.5"/>
    <n v="992"/>
    <n v="189.5"/>
    <x v="0"/>
    <x v="3"/>
  </r>
  <r>
    <n v="10161"/>
    <x v="133"/>
    <s v="Sara"/>
    <x v="3"/>
    <x v="2"/>
    <x v="6"/>
    <x v="6"/>
    <n v="2"/>
    <n v="1420"/>
    <n v="0"/>
    <n v="2840"/>
    <n v="2016"/>
    <n v="824"/>
    <x v="3"/>
    <x v="4"/>
  </r>
  <r>
    <n v="10162"/>
    <x v="1"/>
    <s v="Neha"/>
    <x v="2"/>
    <x v="0"/>
    <x v="8"/>
    <x v="4"/>
    <n v="11"/>
    <n v="1540"/>
    <n v="5"/>
    <n v="16093"/>
    <n v="8851"/>
    <n v="7242"/>
    <x v="0"/>
    <x v="3"/>
  </r>
  <r>
    <n v="10163"/>
    <x v="76"/>
    <s v="Mohit"/>
    <x v="3"/>
    <x v="1"/>
    <x v="11"/>
    <x v="5"/>
    <n v="9"/>
    <n v="1180"/>
    <n v="15"/>
    <n v="9027"/>
    <n v="7672"/>
    <n v="1355"/>
    <x v="2"/>
    <x v="2"/>
  </r>
  <r>
    <n v="10164"/>
    <x v="134"/>
    <s v="Riya"/>
    <x v="0"/>
    <x v="0"/>
    <x v="10"/>
    <x v="1"/>
    <n v="7"/>
    <n v="1260"/>
    <n v="5"/>
    <n v="8379"/>
    <n v="4692"/>
    <n v="3687"/>
    <x v="1"/>
    <x v="1"/>
  </r>
  <r>
    <n v="10165"/>
    <x v="135"/>
    <s v="Neha"/>
    <x v="3"/>
    <x v="0"/>
    <x v="2"/>
    <x v="1"/>
    <n v="10"/>
    <n v="1710"/>
    <n v="10"/>
    <n v="15390"/>
    <n v="9849"/>
    <n v="5541"/>
    <x v="2"/>
    <x v="2"/>
  </r>
  <r>
    <n v="10166"/>
    <x v="136"/>
    <s v="Riya"/>
    <x v="2"/>
    <x v="1"/>
    <x v="3"/>
    <x v="2"/>
    <n v="15"/>
    <n v="1740"/>
    <n v="15"/>
    <n v="22185"/>
    <n v="15529"/>
    <n v="6656"/>
    <x v="2"/>
    <x v="4"/>
  </r>
  <r>
    <n v="10167"/>
    <x v="137"/>
    <s v="Vivek"/>
    <x v="3"/>
    <x v="2"/>
    <x v="7"/>
    <x v="0"/>
    <n v="12"/>
    <n v="1690"/>
    <n v="20"/>
    <n v="16224"/>
    <n v="10383"/>
    <n v="5841"/>
    <x v="1"/>
    <x v="3"/>
  </r>
  <r>
    <n v="10168"/>
    <x v="138"/>
    <s v="Sara"/>
    <x v="0"/>
    <x v="1"/>
    <x v="4"/>
    <x v="0"/>
    <n v="5"/>
    <n v="320"/>
    <n v="20"/>
    <n v="1280"/>
    <n v="1075"/>
    <n v="205"/>
    <x v="0"/>
    <x v="1"/>
  </r>
  <r>
    <n v="10169"/>
    <x v="139"/>
    <s v="Vivek"/>
    <x v="0"/>
    <x v="1"/>
    <x v="13"/>
    <x v="6"/>
    <n v="5"/>
    <n v="1040"/>
    <n v="10"/>
    <n v="4680"/>
    <n v="3135"/>
    <n v="1545"/>
    <x v="1"/>
    <x v="3"/>
  </r>
  <r>
    <n v="10170"/>
    <x v="140"/>
    <s v="Vivek"/>
    <x v="3"/>
    <x v="2"/>
    <x v="7"/>
    <x v="1"/>
    <n v="8"/>
    <n v="1890"/>
    <n v="20"/>
    <n v="12096"/>
    <n v="7741"/>
    <n v="4355"/>
    <x v="1"/>
    <x v="4"/>
  </r>
  <r>
    <n v="10171"/>
    <x v="85"/>
    <s v="Amit"/>
    <x v="0"/>
    <x v="0"/>
    <x v="0"/>
    <x v="0"/>
    <n v="13"/>
    <n v="2000"/>
    <n v="10"/>
    <n v="23400"/>
    <n v="18018"/>
    <n v="5382"/>
    <x v="3"/>
    <x v="1"/>
  </r>
  <r>
    <n v="10172"/>
    <x v="141"/>
    <s v="Neha"/>
    <x v="2"/>
    <x v="0"/>
    <x v="8"/>
    <x v="2"/>
    <n v="9"/>
    <n v="1490"/>
    <n v="10"/>
    <n v="12069"/>
    <n v="8931"/>
    <n v="3138"/>
    <x v="0"/>
    <x v="4"/>
  </r>
  <r>
    <n v="10173"/>
    <x v="142"/>
    <s v="Vivek"/>
    <x v="2"/>
    <x v="0"/>
    <x v="0"/>
    <x v="5"/>
    <n v="2"/>
    <n v="1120"/>
    <n v="20"/>
    <n v="1792"/>
    <n v="1397"/>
    <n v="395"/>
    <x v="1"/>
    <x v="3"/>
  </r>
  <r>
    <n v="10174"/>
    <x v="143"/>
    <s v="Amit"/>
    <x v="2"/>
    <x v="1"/>
    <x v="13"/>
    <x v="6"/>
    <n v="5"/>
    <n v="1880"/>
    <n v="0"/>
    <n v="9400"/>
    <n v="7802"/>
    <n v="1598"/>
    <x v="1"/>
    <x v="1"/>
  </r>
  <r>
    <n v="10175"/>
    <x v="144"/>
    <s v="Mohit"/>
    <x v="2"/>
    <x v="2"/>
    <x v="6"/>
    <x v="1"/>
    <n v="6"/>
    <n v="1080"/>
    <n v="15"/>
    <n v="5508"/>
    <n v="3580"/>
    <n v="1928"/>
    <x v="2"/>
    <x v="4"/>
  </r>
  <r>
    <n v="10176"/>
    <x v="145"/>
    <s v="Nikhil"/>
    <x v="0"/>
    <x v="2"/>
    <x v="12"/>
    <x v="4"/>
    <n v="14"/>
    <n v="410"/>
    <n v="15"/>
    <n v="4879"/>
    <n v="3366"/>
    <n v="1513"/>
    <x v="0"/>
    <x v="0"/>
  </r>
  <r>
    <n v="10177"/>
    <x v="126"/>
    <s v="Nikhil"/>
    <x v="2"/>
    <x v="0"/>
    <x v="1"/>
    <x v="0"/>
    <n v="5"/>
    <n v="440"/>
    <n v="5"/>
    <n v="2090"/>
    <n v="1358"/>
    <n v="732"/>
    <x v="3"/>
    <x v="1"/>
  </r>
  <r>
    <n v="10178"/>
    <x v="146"/>
    <s v="Nikhil"/>
    <x v="1"/>
    <x v="2"/>
    <x v="6"/>
    <x v="6"/>
    <n v="12"/>
    <n v="900"/>
    <n v="20"/>
    <n v="8640"/>
    <n v="5011"/>
    <n v="3629"/>
    <x v="2"/>
    <x v="1"/>
  </r>
  <r>
    <n v="10179"/>
    <x v="103"/>
    <s v="Neha"/>
    <x v="3"/>
    <x v="2"/>
    <x v="12"/>
    <x v="5"/>
    <n v="8"/>
    <n v="1700"/>
    <n v="20"/>
    <n v="10880"/>
    <n v="7289"/>
    <n v="3591"/>
    <x v="0"/>
    <x v="4"/>
  </r>
  <r>
    <n v="10180"/>
    <x v="147"/>
    <s v="Mohit"/>
    <x v="2"/>
    <x v="0"/>
    <x v="10"/>
    <x v="0"/>
    <n v="1"/>
    <n v="1320"/>
    <n v="15"/>
    <n v="1122"/>
    <n v="841"/>
    <n v="281"/>
    <x v="3"/>
    <x v="3"/>
  </r>
  <r>
    <n v="10181"/>
    <x v="148"/>
    <s v="Neha"/>
    <x v="2"/>
    <x v="1"/>
    <x v="13"/>
    <x v="2"/>
    <n v="5"/>
    <n v="1170"/>
    <n v="5"/>
    <n v="5557.5"/>
    <n v="4501"/>
    <n v="1056.5"/>
    <x v="2"/>
    <x v="4"/>
  </r>
  <r>
    <n v="10182"/>
    <x v="149"/>
    <s v="Nikhil"/>
    <x v="0"/>
    <x v="1"/>
    <x v="3"/>
    <x v="5"/>
    <n v="14"/>
    <n v="2000"/>
    <n v="20"/>
    <n v="22400"/>
    <n v="18816"/>
    <n v="3584"/>
    <x v="3"/>
    <x v="1"/>
  </r>
  <r>
    <n v="10183"/>
    <x v="150"/>
    <s v="Kiran"/>
    <x v="2"/>
    <x v="2"/>
    <x v="7"/>
    <x v="4"/>
    <n v="12"/>
    <n v="1860"/>
    <n v="5"/>
    <n v="21204"/>
    <n v="16539"/>
    <n v="4665"/>
    <x v="1"/>
    <x v="1"/>
  </r>
  <r>
    <n v="10184"/>
    <x v="100"/>
    <s v="Vivek"/>
    <x v="3"/>
    <x v="2"/>
    <x v="9"/>
    <x v="4"/>
    <n v="14"/>
    <n v="1810"/>
    <n v="15"/>
    <n v="21539"/>
    <n v="15723"/>
    <n v="5816"/>
    <x v="2"/>
    <x v="1"/>
  </r>
  <r>
    <n v="10185"/>
    <x v="26"/>
    <s v="Kiran"/>
    <x v="1"/>
    <x v="2"/>
    <x v="12"/>
    <x v="4"/>
    <n v="5"/>
    <n v="1520"/>
    <n v="20"/>
    <n v="6080"/>
    <n v="4681"/>
    <n v="1399"/>
    <x v="1"/>
    <x v="3"/>
  </r>
  <r>
    <n v="10186"/>
    <x v="151"/>
    <s v="Vivek"/>
    <x v="0"/>
    <x v="1"/>
    <x v="3"/>
    <x v="2"/>
    <n v="8"/>
    <n v="1950"/>
    <n v="15"/>
    <n v="13260"/>
    <n v="10342"/>
    <n v="2918"/>
    <x v="0"/>
    <x v="1"/>
  </r>
  <r>
    <n v="10187"/>
    <x v="152"/>
    <s v="Neha"/>
    <x v="2"/>
    <x v="0"/>
    <x v="2"/>
    <x v="0"/>
    <n v="1"/>
    <n v="960"/>
    <n v="20"/>
    <n v="768"/>
    <n v="453"/>
    <n v="315"/>
    <x v="3"/>
    <x v="3"/>
  </r>
  <r>
    <n v="10188"/>
    <x v="49"/>
    <s v="Anjali"/>
    <x v="0"/>
    <x v="0"/>
    <x v="8"/>
    <x v="2"/>
    <n v="8"/>
    <n v="960"/>
    <n v="0"/>
    <n v="7680"/>
    <n v="5990"/>
    <n v="1690"/>
    <x v="1"/>
    <x v="1"/>
  </r>
  <r>
    <n v="10189"/>
    <x v="153"/>
    <s v="Riya"/>
    <x v="0"/>
    <x v="1"/>
    <x v="4"/>
    <x v="6"/>
    <n v="14"/>
    <n v="1730"/>
    <n v="0"/>
    <n v="24220"/>
    <n v="19860"/>
    <n v="4360"/>
    <x v="1"/>
    <x v="0"/>
  </r>
  <r>
    <n v="10190"/>
    <x v="154"/>
    <s v="Neha"/>
    <x v="3"/>
    <x v="0"/>
    <x v="2"/>
    <x v="4"/>
    <n v="3"/>
    <n v="600"/>
    <n v="20"/>
    <n v="1440"/>
    <n v="1224"/>
    <n v="216"/>
    <x v="1"/>
    <x v="1"/>
  </r>
  <r>
    <n v="10191"/>
    <x v="155"/>
    <s v="Mohit"/>
    <x v="0"/>
    <x v="2"/>
    <x v="5"/>
    <x v="1"/>
    <n v="15"/>
    <n v="1360"/>
    <n v="20"/>
    <n v="16320"/>
    <n v="10771"/>
    <n v="5549"/>
    <x v="1"/>
    <x v="2"/>
  </r>
  <r>
    <n v="10192"/>
    <x v="156"/>
    <s v="Vivek"/>
    <x v="0"/>
    <x v="0"/>
    <x v="2"/>
    <x v="6"/>
    <n v="12"/>
    <n v="1340"/>
    <n v="0"/>
    <n v="16080"/>
    <n v="9969"/>
    <n v="6111"/>
    <x v="2"/>
    <x v="4"/>
  </r>
  <r>
    <n v="10193"/>
    <x v="157"/>
    <s v="Sara"/>
    <x v="2"/>
    <x v="1"/>
    <x v="13"/>
    <x v="0"/>
    <n v="14"/>
    <n v="1150"/>
    <n v="0"/>
    <n v="16100"/>
    <n v="9982"/>
    <n v="6118"/>
    <x v="0"/>
    <x v="3"/>
  </r>
  <r>
    <n v="10194"/>
    <x v="158"/>
    <s v="Vivek"/>
    <x v="3"/>
    <x v="2"/>
    <x v="12"/>
    <x v="4"/>
    <n v="5"/>
    <n v="480"/>
    <n v="20"/>
    <n v="1920"/>
    <n v="1478"/>
    <n v="442"/>
    <x v="2"/>
    <x v="0"/>
  </r>
  <r>
    <n v="10195"/>
    <x v="59"/>
    <s v="Amit"/>
    <x v="0"/>
    <x v="0"/>
    <x v="0"/>
    <x v="2"/>
    <n v="10"/>
    <n v="1740"/>
    <n v="0"/>
    <n v="17400"/>
    <n v="9744"/>
    <n v="7656"/>
    <x v="0"/>
    <x v="2"/>
  </r>
  <r>
    <n v="10196"/>
    <x v="159"/>
    <s v="Vivek"/>
    <x v="0"/>
    <x v="0"/>
    <x v="1"/>
    <x v="2"/>
    <n v="2"/>
    <n v="1090"/>
    <n v="0"/>
    <n v="2180"/>
    <n v="1569"/>
    <n v="611"/>
    <x v="1"/>
    <x v="3"/>
  </r>
  <r>
    <n v="10197"/>
    <x v="160"/>
    <s v="Sara"/>
    <x v="0"/>
    <x v="0"/>
    <x v="8"/>
    <x v="3"/>
    <n v="8"/>
    <n v="340"/>
    <n v="0"/>
    <n v="2720"/>
    <n v="1822"/>
    <n v="898"/>
    <x v="2"/>
    <x v="0"/>
  </r>
  <r>
    <n v="10198"/>
    <x v="154"/>
    <s v="Riya"/>
    <x v="2"/>
    <x v="2"/>
    <x v="9"/>
    <x v="1"/>
    <n v="11"/>
    <n v="220"/>
    <n v="20"/>
    <n v="1936"/>
    <n v="1161"/>
    <n v="775"/>
    <x v="0"/>
    <x v="0"/>
  </r>
  <r>
    <n v="10199"/>
    <x v="161"/>
    <s v="Riya"/>
    <x v="2"/>
    <x v="1"/>
    <x v="4"/>
    <x v="0"/>
    <n v="13"/>
    <n v="1600"/>
    <n v="15"/>
    <n v="17680"/>
    <n v="12552"/>
    <n v="5128"/>
    <x v="3"/>
    <x v="3"/>
  </r>
  <r>
    <n v="10200"/>
    <x v="162"/>
    <s v="Amit"/>
    <x v="2"/>
    <x v="1"/>
    <x v="11"/>
    <x v="6"/>
    <n v="13"/>
    <n v="970"/>
    <n v="15"/>
    <n v="10718.5"/>
    <n v="8896"/>
    <n v="1822.5"/>
    <x v="2"/>
    <x v="3"/>
  </r>
  <r>
    <n v="10201"/>
    <x v="155"/>
    <s v="Vivek"/>
    <x v="0"/>
    <x v="2"/>
    <x v="12"/>
    <x v="2"/>
    <n v="10"/>
    <n v="1550"/>
    <n v="20"/>
    <n v="12400"/>
    <n v="10044"/>
    <n v="2356"/>
    <x v="1"/>
    <x v="4"/>
  </r>
  <r>
    <n v="10202"/>
    <x v="163"/>
    <s v="Vivek"/>
    <x v="3"/>
    <x v="2"/>
    <x v="7"/>
    <x v="6"/>
    <n v="8"/>
    <n v="1070"/>
    <n v="5"/>
    <n v="8132"/>
    <n v="4879"/>
    <n v="3253"/>
    <x v="3"/>
    <x v="0"/>
  </r>
  <r>
    <n v="10203"/>
    <x v="164"/>
    <s v="Kiran"/>
    <x v="2"/>
    <x v="2"/>
    <x v="7"/>
    <x v="0"/>
    <n v="4"/>
    <n v="1920"/>
    <n v="10"/>
    <n v="6912"/>
    <n v="5253"/>
    <n v="1659"/>
    <x v="1"/>
    <x v="2"/>
  </r>
  <r>
    <n v="10204"/>
    <x v="42"/>
    <s v="Mohit"/>
    <x v="2"/>
    <x v="1"/>
    <x v="11"/>
    <x v="3"/>
    <n v="8"/>
    <n v="440"/>
    <n v="15"/>
    <n v="2992"/>
    <n v="1974"/>
    <n v="1018"/>
    <x v="1"/>
    <x v="2"/>
  </r>
  <r>
    <n v="10205"/>
    <x v="165"/>
    <s v="Amit"/>
    <x v="0"/>
    <x v="0"/>
    <x v="1"/>
    <x v="3"/>
    <n v="15"/>
    <n v="630"/>
    <n v="0"/>
    <n v="9450"/>
    <n v="6898"/>
    <n v="2552"/>
    <x v="1"/>
    <x v="1"/>
  </r>
  <r>
    <n v="10206"/>
    <x v="166"/>
    <s v="Neha"/>
    <x v="3"/>
    <x v="2"/>
    <x v="12"/>
    <x v="0"/>
    <n v="5"/>
    <n v="1120"/>
    <n v="10"/>
    <n v="5040"/>
    <n v="3225"/>
    <n v="1815"/>
    <x v="1"/>
    <x v="2"/>
  </r>
  <r>
    <n v="10207"/>
    <x v="167"/>
    <s v="Riya"/>
    <x v="2"/>
    <x v="1"/>
    <x v="11"/>
    <x v="0"/>
    <n v="14"/>
    <n v="1730"/>
    <n v="5"/>
    <n v="23009"/>
    <n v="13345"/>
    <n v="9664"/>
    <x v="3"/>
    <x v="1"/>
  </r>
  <r>
    <n v="10209"/>
    <x v="168"/>
    <s v="Amit"/>
    <x v="0"/>
    <x v="0"/>
    <x v="0"/>
    <x v="6"/>
    <n v="7"/>
    <n v="400"/>
    <n v="10"/>
    <n v="2520"/>
    <n v="1738"/>
    <n v="782"/>
    <x v="3"/>
    <x v="2"/>
  </r>
  <r>
    <n v="10210"/>
    <x v="169"/>
    <s v="Riya"/>
    <x v="0"/>
    <x v="2"/>
    <x v="9"/>
    <x v="0"/>
    <n v="7"/>
    <n v="1980"/>
    <n v="0"/>
    <n v="13860"/>
    <n v="10672"/>
    <n v="3188"/>
    <x v="0"/>
    <x v="3"/>
  </r>
  <r>
    <n v="10211"/>
    <x v="52"/>
    <s v="Sara"/>
    <x v="2"/>
    <x v="2"/>
    <x v="5"/>
    <x v="6"/>
    <n v="4"/>
    <n v="1330"/>
    <n v="5"/>
    <n v="5054"/>
    <n v="3841"/>
    <n v="1213"/>
    <x v="3"/>
    <x v="1"/>
  </r>
  <r>
    <n v="10212"/>
    <x v="170"/>
    <s v="Neha"/>
    <x v="1"/>
    <x v="2"/>
    <x v="9"/>
    <x v="4"/>
    <n v="3"/>
    <n v="1480"/>
    <n v="0"/>
    <n v="4440"/>
    <n v="3196"/>
    <n v="1244"/>
    <x v="1"/>
    <x v="0"/>
  </r>
  <r>
    <n v="10213"/>
    <x v="171"/>
    <s v="Riya"/>
    <x v="3"/>
    <x v="2"/>
    <x v="7"/>
    <x v="5"/>
    <n v="2"/>
    <n v="300"/>
    <n v="10"/>
    <n v="540"/>
    <n v="459"/>
    <n v="81"/>
    <x v="0"/>
    <x v="0"/>
  </r>
  <r>
    <n v="10214"/>
    <x v="172"/>
    <s v="Kiran"/>
    <x v="3"/>
    <x v="0"/>
    <x v="8"/>
    <x v="0"/>
    <n v="6"/>
    <n v="1530"/>
    <n v="5"/>
    <n v="8721"/>
    <n v="5668"/>
    <n v="3053"/>
    <x v="2"/>
    <x v="4"/>
  </r>
  <r>
    <n v="10215"/>
    <x v="173"/>
    <s v="Kiran"/>
    <x v="3"/>
    <x v="2"/>
    <x v="5"/>
    <x v="4"/>
    <n v="14"/>
    <n v="1980"/>
    <n v="5"/>
    <n v="26334"/>
    <n v="14483"/>
    <n v="11851"/>
    <x v="0"/>
    <x v="3"/>
  </r>
  <r>
    <n v="10216"/>
    <x v="61"/>
    <s v="Riya"/>
    <x v="0"/>
    <x v="2"/>
    <x v="9"/>
    <x v="6"/>
    <n v="14"/>
    <n v="1070"/>
    <n v="0"/>
    <n v="14980"/>
    <n v="10336"/>
    <n v="4644"/>
    <x v="3"/>
    <x v="0"/>
  </r>
  <r>
    <n v="10217"/>
    <x v="155"/>
    <s v="Neha"/>
    <x v="2"/>
    <x v="1"/>
    <x v="13"/>
    <x v="1"/>
    <n v="10"/>
    <n v="1970"/>
    <n v="0"/>
    <n v="19700"/>
    <n v="14381"/>
    <n v="5319"/>
    <x v="1"/>
    <x v="1"/>
  </r>
  <r>
    <n v="10218"/>
    <x v="174"/>
    <s v="Anjali"/>
    <x v="2"/>
    <x v="0"/>
    <x v="1"/>
    <x v="3"/>
    <n v="2"/>
    <n v="1810"/>
    <n v="15"/>
    <n v="3077"/>
    <n v="2184"/>
    <n v="893"/>
    <x v="2"/>
    <x v="2"/>
  </r>
  <r>
    <n v="10219"/>
    <x v="175"/>
    <s v="Sara"/>
    <x v="0"/>
    <x v="0"/>
    <x v="10"/>
    <x v="2"/>
    <n v="11"/>
    <n v="690"/>
    <n v="15"/>
    <n v="6451.5"/>
    <n v="4774"/>
    <n v="1677.5"/>
    <x v="3"/>
    <x v="0"/>
  </r>
  <r>
    <n v="10220"/>
    <x v="5"/>
    <s v="Sneha"/>
    <x v="3"/>
    <x v="2"/>
    <x v="5"/>
    <x v="1"/>
    <n v="8"/>
    <n v="1760"/>
    <n v="0"/>
    <n v="14080"/>
    <n v="11545"/>
    <n v="2535"/>
    <x v="0"/>
    <x v="0"/>
  </r>
  <r>
    <n v="10221"/>
    <x v="176"/>
    <s v="Mohit"/>
    <x v="1"/>
    <x v="2"/>
    <x v="5"/>
    <x v="4"/>
    <n v="6"/>
    <n v="1590"/>
    <n v="5"/>
    <n v="9063"/>
    <n v="7250"/>
    <n v="1813"/>
    <x v="2"/>
    <x v="4"/>
  </r>
  <r>
    <n v="10222"/>
    <x v="177"/>
    <s v="Mohit"/>
    <x v="3"/>
    <x v="0"/>
    <x v="8"/>
    <x v="3"/>
    <n v="8"/>
    <n v="350"/>
    <n v="10"/>
    <n v="2520"/>
    <n v="1537"/>
    <n v="983"/>
    <x v="3"/>
    <x v="3"/>
  </r>
  <r>
    <n v="10223"/>
    <x v="178"/>
    <s v="Sneha"/>
    <x v="0"/>
    <x v="0"/>
    <x v="10"/>
    <x v="3"/>
    <n v="15"/>
    <n v="1430"/>
    <n v="10"/>
    <n v="19305"/>
    <n v="14478"/>
    <n v="4827"/>
    <x v="2"/>
    <x v="1"/>
  </r>
  <r>
    <n v="10224"/>
    <x v="169"/>
    <s v="Nikhil"/>
    <x v="3"/>
    <x v="0"/>
    <x v="10"/>
    <x v="6"/>
    <n v="10"/>
    <n v="1490"/>
    <n v="10"/>
    <n v="13410"/>
    <n v="9521"/>
    <n v="3889"/>
    <x v="1"/>
    <x v="1"/>
  </r>
  <r>
    <n v="10225"/>
    <x v="155"/>
    <s v="Vivek"/>
    <x v="2"/>
    <x v="2"/>
    <x v="6"/>
    <x v="1"/>
    <n v="5"/>
    <n v="910"/>
    <n v="15"/>
    <n v="3867.5"/>
    <n v="2320"/>
    <n v="1547.5"/>
    <x v="3"/>
    <x v="4"/>
  </r>
  <r>
    <n v="10226"/>
    <x v="179"/>
    <s v="Mohit"/>
    <x v="0"/>
    <x v="2"/>
    <x v="6"/>
    <x v="1"/>
    <n v="1"/>
    <n v="1270"/>
    <n v="10"/>
    <n v="1143"/>
    <n v="948"/>
    <n v="195"/>
    <x v="0"/>
    <x v="4"/>
  </r>
  <r>
    <n v="10227"/>
    <x v="180"/>
    <s v="Sara"/>
    <x v="2"/>
    <x v="1"/>
    <x v="13"/>
    <x v="6"/>
    <n v="14"/>
    <n v="830"/>
    <n v="5"/>
    <n v="11039"/>
    <n v="7064"/>
    <n v="3975"/>
    <x v="2"/>
    <x v="4"/>
  </r>
  <r>
    <n v="10228"/>
    <x v="117"/>
    <s v="Sara"/>
    <x v="1"/>
    <x v="2"/>
    <x v="12"/>
    <x v="6"/>
    <n v="12"/>
    <n v="420"/>
    <n v="5"/>
    <n v="4788"/>
    <n v="3878"/>
    <n v="910"/>
    <x v="2"/>
    <x v="4"/>
  </r>
  <r>
    <n v="10230"/>
    <x v="167"/>
    <s v="Riya"/>
    <x v="1"/>
    <x v="0"/>
    <x v="0"/>
    <x v="1"/>
    <n v="9"/>
    <n v="320"/>
    <n v="15"/>
    <n v="2448"/>
    <n v="2080"/>
    <n v="368"/>
    <x v="2"/>
    <x v="2"/>
  </r>
  <r>
    <n v="10231"/>
    <x v="181"/>
    <s v="Kiran"/>
    <x v="0"/>
    <x v="0"/>
    <x v="1"/>
    <x v="4"/>
    <n v="7"/>
    <n v="410"/>
    <n v="15"/>
    <n v="2439.5"/>
    <n v="1780"/>
    <n v="659.5"/>
    <x v="1"/>
    <x v="2"/>
  </r>
  <r>
    <n v="10232"/>
    <x v="182"/>
    <s v="Nikhil"/>
    <x v="2"/>
    <x v="2"/>
    <x v="6"/>
    <x v="4"/>
    <n v="2"/>
    <n v="920"/>
    <n v="5"/>
    <n v="1748"/>
    <n v="978"/>
    <n v="770"/>
    <x v="1"/>
    <x v="1"/>
  </r>
  <r>
    <n v="10233"/>
    <x v="38"/>
    <s v="Sara"/>
    <x v="1"/>
    <x v="1"/>
    <x v="11"/>
    <x v="2"/>
    <n v="1"/>
    <n v="550"/>
    <n v="5"/>
    <n v="522.5"/>
    <n v="350"/>
    <n v="172.5"/>
    <x v="0"/>
    <x v="1"/>
  </r>
  <r>
    <n v="10234"/>
    <x v="56"/>
    <s v="Amit"/>
    <x v="2"/>
    <x v="1"/>
    <x v="11"/>
    <x v="6"/>
    <n v="3"/>
    <n v="1730"/>
    <n v="0"/>
    <n v="5190"/>
    <n v="3321"/>
    <n v="1869"/>
    <x v="3"/>
    <x v="3"/>
  </r>
  <r>
    <n v="10235"/>
    <x v="183"/>
    <s v="Amit"/>
    <x v="2"/>
    <x v="0"/>
    <x v="2"/>
    <x v="5"/>
    <n v="5"/>
    <n v="780"/>
    <n v="20"/>
    <n v="3120"/>
    <n v="2246"/>
    <n v="874"/>
    <x v="2"/>
    <x v="3"/>
  </r>
  <r>
    <n v="10236"/>
    <x v="184"/>
    <s v="Neha"/>
    <x v="3"/>
    <x v="0"/>
    <x v="0"/>
    <x v="0"/>
    <n v="5"/>
    <n v="1440"/>
    <n v="15"/>
    <n v="6120"/>
    <n v="3733"/>
    <n v="2387"/>
    <x v="3"/>
    <x v="2"/>
  </r>
  <r>
    <n v="10237"/>
    <x v="185"/>
    <s v="Vivek"/>
    <x v="1"/>
    <x v="0"/>
    <x v="1"/>
    <x v="1"/>
    <n v="5"/>
    <n v="660"/>
    <n v="0"/>
    <n v="3300"/>
    <n v="2541"/>
    <n v="759"/>
    <x v="2"/>
    <x v="3"/>
  </r>
  <r>
    <n v="10238"/>
    <x v="186"/>
    <s v="Kiran"/>
    <x v="3"/>
    <x v="1"/>
    <x v="3"/>
    <x v="1"/>
    <n v="8"/>
    <n v="1020"/>
    <n v="15"/>
    <n v="6936"/>
    <n v="4924"/>
    <n v="2012"/>
    <x v="1"/>
    <x v="1"/>
  </r>
  <r>
    <n v="10239"/>
    <x v="187"/>
    <s v="Riya"/>
    <x v="2"/>
    <x v="0"/>
    <x v="0"/>
    <x v="6"/>
    <n v="12"/>
    <n v="890"/>
    <n v="0"/>
    <n v="10680"/>
    <n v="6194"/>
    <n v="4486"/>
    <x v="0"/>
    <x v="2"/>
  </r>
  <r>
    <n v="10240"/>
    <x v="100"/>
    <s v="Amit"/>
    <x v="2"/>
    <x v="1"/>
    <x v="3"/>
    <x v="5"/>
    <n v="8"/>
    <n v="670"/>
    <n v="15"/>
    <n v="4556"/>
    <n v="2915"/>
    <n v="1641"/>
    <x v="0"/>
    <x v="2"/>
  </r>
  <r>
    <n v="10241"/>
    <x v="188"/>
    <s v="Riya"/>
    <x v="1"/>
    <x v="0"/>
    <x v="0"/>
    <x v="2"/>
    <n v="1"/>
    <n v="1970"/>
    <n v="10"/>
    <n v="1773"/>
    <n v="1276"/>
    <n v="497"/>
    <x v="0"/>
    <x v="4"/>
  </r>
  <r>
    <n v="10242"/>
    <x v="189"/>
    <s v="Vivek"/>
    <x v="1"/>
    <x v="1"/>
    <x v="4"/>
    <x v="1"/>
    <n v="4"/>
    <n v="1040"/>
    <n v="15"/>
    <n v="3536"/>
    <n v="2510"/>
    <n v="1026"/>
    <x v="3"/>
    <x v="3"/>
  </r>
  <r>
    <n v="10243"/>
    <x v="190"/>
    <s v="Vivek"/>
    <x v="2"/>
    <x v="1"/>
    <x v="11"/>
    <x v="4"/>
    <n v="8"/>
    <n v="1790"/>
    <n v="15"/>
    <n v="12172"/>
    <n v="8763"/>
    <n v="3409"/>
    <x v="0"/>
    <x v="0"/>
  </r>
  <r>
    <n v="10244"/>
    <x v="68"/>
    <s v="Sneha"/>
    <x v="0"/>
    <x v="0"/>
    <x v="2"/>
    <x v="6"/>
    <n v="11"/>
    <n v="1490"/>
    <n v="0"/>
    <n v="16390"/>
    <n v="11636"/>
    <n v="4754"/>
    <x v="2"/>
    <x v="2"/>
  </r>
  <r>
    <n v="10245"/>
    <x v="79"/>
    <s v="Anjali"/>
    <x v="1"/>
    <x v="2"/>
    <x v="7"/>
    <x v="2"/>
    <n v="6"/>
    <n v="1260"/>
    <n v="20"/>
    <n v="6048"/>
    <n v="4536"/>
    <n v="1512"/>
    <x v="2"/>
    <x v="3"/>
  </r>
  <r>
    <n v="10246"/>
    <x v="191"/>
    <s v="Anjali"/>
    <x v="1"/>
    <x v="0"/>
    <x v="1"/>
    <x v="6"/>
    <n v="8"/>
    <n v="730"/>
    <n v="20"/>
    <n v="4672"/>
    <n v="2849"/>
    <n v="1823"/>
    <x v="2"/>
    <x v="2"/>
  </r>
  <r>
    <n v="10247"/>
    <x v="168"/>
    <s v="Neha"/>
    <x v="0"/>
    <x v="2"/>
    <x v="9"/>
    <x v="1"/>
    <n v="9"/>
    <n v="950"/>
    <n v="10"/>
    <n v="7695"/>
    <n v="4463"/>
    <n v="3232"/>
    <x v="2"/>
    <x v="4"/>
  </r>
  <r>
    <n v="10248"/>
    <x v="192"/>
    <s v="Anjali"/>
    <x v="3"/>
    <x v="1"/>
    <x v="13"/>
    <x v="5"/>
    <n v="7"/>
    <n v="360"/>
    <n v="10"/>
    <n v="2268"/>
    <n v="1338"/>
    <n v="930"/>
    <x v="2"/>
    <x v="4"/>
  </r>
  <r>
    <n v="10249"/>
    <x v="66"/>
    <s v="Amit"/>
    <x v="3"/>
    <x v="2"/>
    <x v="9"/>
    <x v="6"/>
    <n v="10"/>
    <n v="980"/>
    <n v="15"/>
    <n v="8330"/>
    <n v="5997"/>
    <n v="2333"/>
    <x v="1"/>
    <x v="3"/>
  </r>
  <r>
    <n v="10250"/>
    <x v="193"/>
    <s v="Sneha"/>
    <x v="2"/>
    <x v="2"/>
    <x v="5"/>
    <x v="3"/>
    <n v="12"/>
    <n v="1830"/>
    <n v="5"/>
    <n v="20862"/>
    <n v="15229"/>
    <n v="5633"/>
    <x v="2"/>
    <x v="0"/>
  </r>
  <r>
    <n v="10251"/>
    <x v="194"/>
    <s v="Mohit"/>
    <x v="0"/>
    <x v="1"/>
    <x v="4"/>
    <x v="6"/>
    <n v="9"/>
    <n v="1150"/>
    <n v="20"/>
    <n v="8280"/>
    <n v="4885"/>
    <n v="3395"/>
    <x v="3"/>
    <x v="0"/>
  </r>
  <r>
    <n v="10252"/>
    <x v="46"/>
    <s v="Riya"/>
    <x v="1"/>
    <x v="1"/>
    <x v="3"/>
    <x v="0"/>
    <n v="9"/>
    <n v="600"/>
    <n v="20"/>
    <n v="4320"/>
    <n v="3456"/>
    <n v="864"/>
    <x v="2"/>
    <x v="3"/>
  </r>
  <r>
    <n v="10253"/>
    <x v="195"/>
    <s v="Nikhil"/>
    <x v="2"/>
    <x v="2"/>
    <x v="9"/>
    <x v="0"/>
    <n v="13"/>
    <n v="1490"/>
    <n v="20"/>
    <n v="15496"/>
    <n v="11312"/>
    <n v="4184"/>
    <x v="2"/>
    <x v="2"/>
  </r>
  <r>
    <n v="10254"/>
    <x v="78"/>
    <s v="Sneha"/>
    <x v="1"/>
    <x v="1"/>
    <x v="3"/>
    <x v="3"/>
    <n v="1"/>
    <n v="730"/>
    <n v="15"/>
    <n v="620.5"/>
    <n v="452"/>
    <n v="168.5"/>
    <x v="1"/>
    <x v="0"/>
  </r>
  <r>
    <n v="10255"/>
    <x v="196"/>
    <s v="Anjali"/>
    <x v="1"/>
    <x v="1"/>
    <x v="11"/>
    <x v="1"/>
    <n v="7"/>
    <n v="1730"/>
    <n v="5"/>
    <n v="11504.5"/>
    <n v="9778"/>
    <n v="1726.5"/>
    <x v="3"/>
    <x v="3"/>
  </r>
  <r>
    <n v="10256"/>
    <x v="197"/>
    <s v="Kiran"/>
    <x v="1"/>
    <x v="1"/>
    <x v="3"/>
    <x v="6"/>
    <n v="15"/>
    <n v="260"/>
    <n v="20"/>
    <n v="3120"/>
    <n v="2308"/>
    <n v="812"/>
    <x v="3"/>
    <x v="2"/>
  </r>
  <r>
    <n v="10257"/>
    <x v="198"/>
    <s v="Kiran"/>
    <x v="0"/>
    <x v="2"/>
    <x v="9"/>
    <x v="0"/>
    <n v="10"/>
    <n v="1380"/>
    <n v="0"/>
    <n v="13800"/>
    <n v="9522"/>
    <n v="4278"/>
    <x v="1"/>
    <x v="4"/>
  </r>
  <r>
    <n v="10258"/>
    <x v="13"/>
    <s v="Sara"/>
    <x v="1"/>
    <x v="0"/>
    <x v="2"/>
    <x v="5"/>
    <n v="5"/>
    <n v="1620"/>
    <n v="5"/>
    <n v="7695"/>
    <n v="5848"/>
    <n v="1847"/>
    <x v="1"/>
    <x v="0"/>
  </r>
  <r>
    <n v="10259"/>
    <x v="44"/>
    <s v="Neha"/>
    <x v="3"/>
    <x v="1"/>
    <x v="4"/>
    <x v="6"/>
    <n v="12"/>
    <n v="1620"/>
    <n v="5"/>
    <n v="18468"/>
    <n v="11450"/>
    <n v="7018"/>
    <x v="2"/>
    <x v="3"/>
  </r>
  <r>
    <n v="10260"/>
    <x v="12"/>
    <s v="Mohit"/>
    <x v="1"/>
    <x v="2"/>
    <x v="5"/>
    <x v="4"/>
    <n v="12"/>
    <n v="870"/>
    <n v="10"/>
    <n v="9396"/>
    <n v="6013"/>
    <n v="3383"/>
    <x v="3"/>
    <x v="4"/>
  </r>
  <r>
    <n v="10261"/>
    <x v="157"/>
    <s v="Sara"/>
    <x v="2"/>
    <x v="0"/>
    <x v="8"/>
    <x v="0"/>
    <n v="7"/>
    <n v="390"/>
    <n v="20"/>
    <n v="2184"/>
    <n v="1528"/>
    <n v="656"/>
    <x v="1"/>
    <x v="4"/>
  </r>
  <r>
    <n v="10262"/>
    <x v="191"/>
    <s v="Neha"/>
    <x v="3"/>
    <x v="1"/>
    <x v="3"/>
    <x v="3"/>
    <n v="1"/>
    <n v="1360"/>
    <n v="20"/>
    <n v="1088"/>
    <n v="837"/>
    <n v="251"/>
    <x v="2"/>
    <x v="4"/>
  </r>
  <r>
    <n v="10263"/>
    <x v="199"/>
    <s v="Kiran"/>
    <x v="2"/>
    <x v="2"/>
    <x v="5"/>
    <x v="0"/>
    <n v="4"/>
    <n v="1830"/>
    <n v="5"/>
    <n v="6954"/>
    <n v="5145"/>
    <n v="1809"/>
    <x v="1"/>
    <x v="3"/>
  </r>
  <r>
    <n v="10264"/>
    <x v="64"/>
    <s v="Sneha"/>
    <x v="3"/>
    <x v="0"/>
    <x v="10"/>
    <x v="1"/>
    <n v="9"/>
    <n v="1440"/>
    <n v="15"/>
    <n v="11016"/>
    <n v="8702"/>
    <n v="2314"/>
    <x v="3"/>
    <x v="0"/>
  </r>
  <r>
    <n v="10265"/>
    <x v="200"/>
    <s v="Amit"/>
    <x v="1"/>
    <x v="0"/>
    <x v="1"/>
    <x v="2"/>
    <n v="3"/>
    <n v="420"/>
    <n v="10"/>
    <n v="1134"/>
    <n v="691"/>
    <n v="443"/>
    <x v="3"/>
    <x v="4"/>
  </r>
  <r>
    <n v="10266"/>
    <x v="48"/>
    <s v="Kiran"/>
    <x v="1"/>
    <x v="1"/>
    <x v="13"/>
    <x v="6"/>
    <n v="3"/>
    <n v="530"/>
    <n v="15"/>
    <n v="1351.5"/>
    <n v="878"/>
    <n v="473.5"/>
    <x v="1"/>
    <x v="3"/>
  </r>
  <r>
    <n v="10267"/>
    <x v="53"/>
    <s v="Mohit"/>
    <x v="0"/>
    <x v="1"/>
    <x v="13"/>
    <x v="4"/>
    <n v="2"/>
    <n v="820"/>
    <n v="0"/>
    <n v="1640"/>
    <n v="934"/>
    <n v="706"/>
    <x v="1"/>
    <x v="3"/>
  </r>
  <r>
    <n v="10268"/>
    <x v="201"/>
    <s v="Anjali"/>
    <x v="3"/>
    <x v="0"/>
    <x v="2"/>
    <x v="6"/>
    <n v="4"/>
    <n v="1360"/>
    <n v="20"/>
    <n v="4352"/>
    <n v="3655"/>
    <n v="697"/>
    <x v="0"/>
    <x v="3"/>
  </r>
  <r>
    <n v="10269"/>
    <x v="202"/>
    <s v="Mohit"/>
    <x v="3"/>
    <x v="0"/>
    <x v="2"/>
    <x v="4"/>
    <n v="14"/>
    <n v="660"/>
    <n v="20"/>
    <n v="7392"/>
    <n v="4435"/>
    <n v="2957"/>
    <x v="3"/>
    <x v="2"/>
  </r>
  <r>
    <n v="10270"/>
    <x v="203"/>
    <s v="Vivek"/>
    <x v="3"/>
    <x v="1"/>
    <x v="4"/>
    <x v="1"/>
    <n v="14"/>
    <n v="1260"/>
    <n v="10"/>
    <n v="15876"/>
    <n v="12065"/>
    <n v="3811"/>
    <x v="1"/>
    <x v="4"/>
  </r>
  <r>
    <n v="10271"/>
    <x v="61"/>
    <s v="Nikhil"/>
    <x v="1"/>
    <x v="2"/>
    <x v="12"/>
    <x v="6"/>
    <n v="15"/>
    <n v="240"/>
    <n v="15"/>
    <n v="3060"/>
    <n v="1958"/>
    <n v="1102"/>
    <x v="3"/>
    <x v="2"/>
  </r>
  <r>
    <n v="10272"/>
    <x v="204"/>
    <s v="Mohit"/>
    <x v="0"/>
    <x v="2"/>
    <x v="12"/>
    <x v="1"/>
    <n v="10"/>
    <n v="1020"/>
    <n v="10"/>
    <n v="9180"/>
    <n v="7160"/>
    <n v="2020"/>
    <x v="0"/>
    <x v="4"/>
  </r>
  <r>
    <n v="10273"/>
    <x v="203"/>
    <s v="Neha"/>
    <x v="1"/>
    <x v="0"/>
    <x v="0"/>
    <x v="5"/>
    <n v="8"/>
    <n v="1920"/>
    <n v="10"/>
    <n v="13824"/>
    <n v="11612"/>
    <n v="2212"/>
    <x v="1"/>
    <x v="4"/>
  </r>
  <r>
    <n v="10274"/>
    <x v="205"/>
    <s v="Riya"/>
    <x v="1"/>
    <x v="2"/>
    <x v="12"/>
    <x v="3"/>
    <n v="8"/>
    <n v="690"/>
    <n v="15"/>
    <n v="4692"/>
    <n v="3096"/>
    <n v="1596"/>
    <x v="3"/>
    <x v="0"/>
  </r>
  <r>
    <n v="10275"/>
    <x v="206"/>
    <s v="Anjali"/>
    <x v="2"/>
    <x v="2"/>
    <x v="9"/>
    <x v="3"/>
    <n v="9"/>
    <n v="910"/>
    <n v="15"/>
    <n v="6961.5"/>
    <n v="3828"/>
    <n v="3133.5"/>
    <x v="0"/>
    <x v="2"/>
  </r>
  <r>
    <n v="10276"/>
    <x v="207"/>
    <s v="Mohit"/>
    <x v="3"/>
    <x v="0"/>
    <x v="1"/>
    <x v="0"/>
    <n v="11"/>
    <n v="1010"/>
    <n v="0"/>
    <n v="11110"/>
    <n v="9332"/>
    <n v="1778"/>
    <x v="2"/>
    <x v="4"/>
  </r>
  <r>
    <n v="10277"/>
    <x v="208"/>
    <s v="Nikhil"/>
    <x v="0"/>
    <x v="1"/>
    <x v="4"/>
    <x v="0"/>
    <n v="9"/>
    <n v="960"/>
    <n v="10"/>
    <n v="7776"/>
    <n v="4898"/>
    <n v="2878"/>
    <x v="2"/>
    <x v="3"/>
  </r>
  <r>
    <n v="10278"/>
    <x v="209"/>
    <s v="Mohit"/>
    <x v="3"/>
    <x v="1"/>
    <x v="13"/>
    <x v="3"/>
    <n v="9"/>
    <n v="1520"/>
    <n v="20"/>
    <n v="10944"/>
    <n v="7989"/>
    <n v="2955"/>
    <x v="1"/>
    <x v="0"/>
  </r>
  <r>
    <n v="10279"/>
    <x v="210"/>
    <s v="Nikhil"/>
    <x v="0"/>
    <x v="1"/>
    <x v="3"/>
    <x v="5"/>
    <n v="8"/>
    <n v="1660"/>
    <n v="5"/>
    <n v="12616"/>
    <n v="7443"/>
    <n v="5173"/>
    <x v="1"/>
    <x v="2"/>
  </r>
  <r>
    <n v="10280"/>
    <x v="92"/>
    <s v="Sneha"/>
    <x v="0"/>
    <x v="1"/>
    <x v="11"/>
    <x v="1"/>
    <n v="10"/>
    <n v="1370"/>
    <n v="15"/>
    <n v="11645"/>
    <n v="7802"/>
    <n v="3843"/>
    <x v="2"/>
    <x v="4"/>
  </r>
  <r>
    <n v="10281"/>
    <x v="211"/>
    <s v="Nikhil"/>
    <x v="0"/>
    <x v="0"/>
    <x v="2"/>
    <x v="4"/>
    <n v="1"/>
    <n v="1250"/>
    <n v="10"/>
    <n v="1125"/>
    <n v="776"/>
    <n v="349"/>
    <x v="1"/>
    <x v="2"/>
  </r>
  <r>
    <n v="10282"/>
    <x v="212"/>
    <s v="Vivek"/>
    <x v="0"/>
    <x v="2"/>
    <x v="12"/>
    <x v="1"/>
    <n v="5"/>
    <n v="1940"/>
    <n v="15"/>
    <n v="8245"/>
    <n v="5194"/>
    <n v="3051"/>
    <x v="3"/>
    <x v="1"/>
  </r>
  <r>
    <n v="10283"/>
    <x v="213"/>
    <s v="Anjali"/>
    <x v="0"/>
    <x v="2"/>
    <x v="7"/>
    <x v="2"/>
    <n v="8"/>
    <n v="740"/>
    <n v="15"/>
    <n v="5032"/>
    <n v="2767"/>
    <n v="2265"/>
    <x v="1"/>
    <x v="3"/>
  </r>
  <r>
    <n v="10287"/>
    <x v="214"/>
    <s v="Kiran"/>
    <x v="3"/>
    <x v="2"/>
    <x v="5"/>
    <x v="5"/>
    <n v="14"/>
    <n v="1700"/>
    <n v="20"/>
    <n v="19040"/>
    <n v="10662"/>
    <n v="8378"/>
    <x v="0"/>
    <x v="0"/>
  </r>
  <r>
    <n v="10288"/>
    <x v="57"/>
    <s v="Nikhil"/>
    <x v="3"/>
    <x v="2"/>
    <x v="6"/>
    <x v="5"/>
    <n v="1"/>
    <n v="2000"/>
    <n v="15"/>
    <n v="1700"/>
    <n v="1275"/>
    <n v="425"/>
    <x v="1"/>
    <x v="2"/>
  </r>
  <r>
    <n v="10289"/>
    <x v="215"/>
    <s v="Kiran"/>
    <x v="3"/>
    <x v="0"/>
    <x v="1"/>
    <x v="2"/>
    <n v="8"/>
    <n v="1610"/>
    <n v="20"/>
    <n v="10304"/>
    <n v="6903"/>
    <n v="3401"/>
    <x v="1"/>
    <x v="0"/>
  </r>
  <r>
    <n v="10290"/>
    <x v="70"/>
    <s v="Neha"/>
    <x v="3"/>
    <x v="0"/>
    <x v="0"/>
    <x v="6"/>
    <n v="12"/>
    <n v="540"/>
    <n v="20"/>
    <n v="5184"/>
    <n v="3369"/>
    <n v="1815"/>
    <x v="3"/>
    <x v="0"/>
  </r>
  <r>
    <n v="10291"/>
    <x v="216"/>
    <s v="Nikhil"/>
    <x v="1"/>
    <x v="0"/>
    <x v="8"/>
    <x v="3"/>
    <n v="10"/>
    <n v="1400"/>
    <n v="15"/>
    <n v="11900"/>
    <n v="6664"/>
    <n v="5236"/>
    <x v="3"/>
    <x v="0"/>
  </r>
  <r>
    <n v="10292"/>
    <x v="217"/>
    <s v="Kiran"/>
    <x v="0"/>
    <x v="2"/>
    <x v="6"/>
    <x v="1"/>
    <n v="13"/>
    <n v="1740"/>
    <n v="5"/>
    <n v="21489"/>
    <n v="13967"/>
    <n v="7522"/>
    <x v="1"/>
    <x v="4"/>
  </r>
  <r>
    <n v="10293"/>
    <x v="218"/>
    <s v="Kiran"/>
    <x v="2"/>
    <x v="1"/>
    <x v="11"/>
    <x v="1"/>
    <n v="13"/>
    <n v="380"/>
    <n v="5"/>
    <n v="4693"/>
    <n v="3332"/>
    <n v="1361"/>
    <x v="0"/>
    <x v="3"/>
  </r>
  <r>
    <n v="10294"/>
    <x v="219"/>
    <s v="Mohit"/>
    <x v="1"/>
    <x v="1"/>
    <x v="13"/>
    <x v="4"/>
    <n v="5"/>
    <n v="1500"/>
    <n v="10"/>
    <n v="6750"/>
    <n v="4050"/>
    <n v="2700"/>
    <x v="0"/>
    <x v="3"/>
  </r>
  <r>
    <n v="10295"/>
    <x v="67"/>
    <s v="Riya"/>
    <x v="3"/>
    <x v="0"/>
    <x v="1"/>
    <x v="4"/>
    <n v="5"/>
    <n v="310"/>
    <n v="0"/>
    <n v="1550"/>
    <n v="1178"/>
    <n v="372"/>
    <x v="3"/>
    <x v="3"/>
  </r>
  <r>
    <n v="10296"/>
    <x v="220"/>
    <s v="Nikhil"/>
    <x v="2"/>
    <x v="2"/>
    <x v="9"/>
    <x v="0"/>
    <n v="4"/>
    <n v="1750"/>
    <n v="0"/>
    <n v="7000"/>
    <n v="4620"/>
    <n v="2380"/>
    <x v="3"/>
    <x v="4"/>
  </r>
  <r>
    <n v="10297"/>
    <x v="172"/>
    <s v="Nikhil"/>
    <x v="3"/>
    <x v="0"/>
    <x v="2"/>
    <x v="6"/>
    <n v="8"/>
    <n v="1190"/>
    <n v="10"/>
    <n v="8568"/>
    <n v="6254"/>
    <n v="2314"/>
    <x v="3"/>
    <x v="2"/>
  </r>
  <r>
    <n v="10298"/>
    <x v="196"/>
    <s v="Kiran"/>
    <x v="0"/>
    <x v="0"/>
    <x v="8"/>
    <x v="3"/>
    <n v="7"/>
    <n v="1060"/>
    <n v="15"/>
    <n v="6307"/>
    <n v="4982"/>
    <n v="1325"/>
    <x v="0"/>
    <x v="1"/>
  </r>
  <r>
    <n v="10299"/>
    <x v="221"/>
    <s v="Kiran"/>
    <x v="1"/>
    <x v="0"/>
    <x v="1"/>
    <x v="5"/>
    <n v="14"/>
    <n v="1460"/>
    <n v="10"/>
    <n v="18396"/>
    <n v="15636"/>
    <n v="2760"/>
    <x v="2"/>
    <x v="0"/>
  </r>
  <r>
    <n v="10300"/>
    <x v="222"/>
    <s v="Sara"/>
    <x v="2"/>
    <x v="2"/>
    <x v="7"/>
    <x v="5"/>
    <n v="14"/>
    <n v="790"/>
    <n v="10"/>
    <n v="9954"/>
    <n v="8261"/>
    <n v="1693"/>
    <x v="1"/>
    <x v="4"/>
  </r>
  <r>
    <n v="10301"/>
    <x v="168"/>
    <s v="Sara"/>
    <x v="1"/>
    <x v="2"/>
    <x v="6"/>
    <x v="1"/>
    <n v="8"/>
    <n v="1880"/>
    <n v="15"/>
    <n v="12784"/>
    <n v="10482"/>
    <n v="2302"/>
    <x v="3"/>
    <x v="3"/>
  </r>
  <r>
    <n v="10302"/>
    <x v="223"/>
    <s v="Vivek"/>
    <x v="3"/>
    <x v="2"/>
    <x v="5"/>
    <x v="1"/>
    <n v="12"/>
    <n v="510"/>
    <n v="0"/>
    <n v="6120"/>
    <n v="3855"/>
    <n v="2265"/>
    <x v="0"/>
    <x v="4"/>
  </r>
  <r>
    <n v="10303"/>
    <x v="57"/>
    <s v="Nikhil"/>
    <x v="1"/>
    <x v="2"/>
    <x v="7"/>
    <x v="0"/>
    <n v="2"/>
    <n v="840"/>
    <n v="5"/>
    <n v="1596"/>
    <n v="957"/>
    <n v="639"/>
    <x v="0"/>
    <x v="4"/>
  </r>
  <r>
    <n v="10304"/>
    <x v="149"/>
    <s v="Anjali"/>
    <x v="2"/>
    <x v="1"/>
    <x v="4"/>
    <x v="5"/>
    <n v="11"/>
    <n v="1490"/>
    <n v="10"/>
    <n v="14751"/>
    <n v="10768"/>
    <n v="3983"/>
    <x v="0"/>
    <x v="4"/>
  </r>
  <r>
    <n v="10305"/>
    <x v="224"/>
    <s v="Sneha"/>
    <x v="3"/>
    <x v="2"/>
    <x v="6"/>
    <x v="4"/>
    <n v="14"/>
    <n v="1060"/>
    <n v="0"/>
    <n v="14840"/>
    <n v="8755"/>
    <n v="6085"/>
    <x v="3"/>
    <x v="1"/>
  </r>
  <r>
    <n v="10306"/>
    <x v="225"/>
    <s v="Nikhil"/>
    <x v="3"/>
    <x v="1"/>
    <x v="13"/>
    <x v="1"/>
    <n v="9"/>
    <n v="1120"/>
    <n v="0"/>
    <n v="10080"/>
    <n v="5947"/>
    <n v="4133"/>
    <x v="1"/>
    <x v="0"/>
  </r>
  <r>
    <n v="10307"/>
    <x v="226"/>
    <s v="Amit"/>
    <x v="3"/>
    <x v="2"/>
    <x v="12"/>
    <x v="0"/>
    <n v="12"/>
    <n v="280"/>
    <n v="5"/>
    <n v="3192"/>
    <n v="2266"/>
    <n v="926"/>
    <x v="3"/>
    <x v="3"/>
  </r>
  <r>
    <n v="10308"/>
    <x v="227"/>
    <s v="Anjali"/>
    <x v="2"/>
    <x v="2"/>
    <x v="7"/>
    <x v="5"/>
    <n v="2"/>
    <n v="320"/>
    <n v="20"/>
    <n v="512"/>
    <n v="384"/>
    <n v="128"/>
    <x v="0"/>
    <x v="0"/>
  </r>
  <r>
    <n v="10310"/>
    <x v="228"/>
    <s v="Sneha"/>
    <x v="1"/>
    <x v="0"/>
    <x v="2"/>
    <x v="4"/>
    <n v="5"/>
    <n v="1370"/>
    <n v="15"/>
    <n v="5822.5"/>
    <n v="4716"/>
    <n v="1106.5"/>
    <x v="1"/>
    <x v="4"/>
  </r>
  <r>
    <n v="10312"/>
    <x v="177"/>
    <s v="Nikhil"/>
    <x v="3"/>
    <x v="0"/>
    <x v="10"/>
    <x v="6"/>
    <n v="11"/>
    <n v="580"/>
    <n v="15"/>
    <n v="5423"/>
    <n v="3524"/>
    <n v="1899"/>
    <x v="2"/>
    <x v="4"/>
  </r>
  <r>
    <n v="10313"/>
    <x v="81"/>
    <s v="Kiran"/>
    <x v="2"/>
    <x v="0"/>
    <x v="8"/>
    <x v="5"/>
    <n v="10"/>
    <n v="810"/>
    <n v="10"/>
    <n v="7290"/>
    <n v="4374"/>
    <n v="2916"/>
    <x v="0"/>
    <x v="0"/>
  </r>
  <r>
    <n v="10314"/>
    <x v="229"/>
    <s v="Neha"/>
    <x v="1"/>
    <x v="0"/>
    <x v="10"/>
    <x v="3"/>
    <n v="15"/>
    <n v="1650"/>
    <n v="10"/>
    <n v="22275"/>
    <n v="17151"/>
    <n v="5124"/>
    <x v="1"/>
    <x v="1"/>
  </r>
  <r>
    <n v="10315"/>
    <x v="21"/>
    <s v="Mohit"/>
    <x v="0"/>
    <x v="0"/>
    <x v="8"/>
    <x v="5"/>
    <n v="6"/>
    <n v="920"/>
    <n v="15"/>
    <n v="4692"/>
    <n v="3847"/>
    <n v="845"/>
    <x v="0"/>
    <x v="2"/>
  </r>
  <r>
    <n v="10316"/>
    <x v="230"/>
    <s v="Riya"/>
    <x v="0"/>
    <x v="1"/>
    <x v="4"/>
    <x v="3"/>
    <n v="14"/>
    <n v="1050"/>
    <n v="0"/>
    <n v="14700"/>
    <n v="11025"/>
    <n v="3675"/>
    <x v="3"/>
    <x v="1"/>
  </r>
  <r>
    <n v="10317"/>
    <x v="231"/>
    <s v="Amit"/>
    <x v="0"/>
    <x v="0"/>
    <x v="8"/>
    <x v="1"/>
    <n v="12"/>
    <n v="1440"/>
    <n v="0"/>
    <n v="17280"/>
    <n v="11923"/>
    <n v="5357"/>
    <x v="0"/>
    <x v="3"/>
  </r>
  <r>
    <n v="10318"/>
    <x v="232"/>
    <s v="Kiran"/>
    <x v="3"/>
    <x v="1"/>
    <x v="13"/>
    <x v="5"/>
    <n v="2"/>
    <n v="1860"/>
    <n v="20"/>
    <n v="2976"/>
    <n v="2023"/>
    <n v="953"/>
    <x v="0"/>
    <x v="0"/>
  </r>
  <r>
    <n v="10319"/>
    <x v="233"/>
    <s v="Riya"/>
    <x v="3"/>
    <x v="0"/>
    <x v="0"/>
    <x v="1"/>
    <n v="15"/>
    <n v="550"/>
    <n v="10"/>
    <n v="7425"/>
    <n v="5049"/>
    <n v="2376"/>
    <x v="0"/>
    <x v="3"/>
  </r>
  <r>
    <n v="10320"/>
    <x v="234"/>
    <s v="Mohit"/>
    <x v="1"/>
    <x v="1"/>
    <x v="11"/>
    <x v="5"/>
    <n v="13"/>
    <n v="680"/>
    <n v="15"/>
    <n v="7514"/>
    <n v="4207"/>
    <n v="3307"/>
    <x v="3"/>
    <x v="2"/>
  </r>
  <r>
    <n v="10321"/>
    <x v="235"/>
    <s v="Sara"/>
    <x v="3"/>
    <x v="1"/>
    <x v="4"/>
    <x v="0"/>
    <n v="15"/>
    <n v="1400"/>
    <n v="5"/>
    <n v="19950"/>
    <n v="12768"/>
    <n v="7182"/>
    <x v="3"/>
    <x v="3"/>
  </r>
  <r>
    <n v="10322"/>
    <x v="236"/>
    <s v="Kiran"/>
    <x v="1"/>
    <x v="2"/>
    <x v="6"/>
    <x v="4"/>
    <n v="4"/>
    <n v="720"/>
    <n v="0"/>
    <n v="2880"/>
    <n v="1814"/>
    <n v="1066"/>
    <x v="3"/>
    <x v="3"/>
  </r>
  <r>
    <n v="10323"/>
    <x v="65"/>
    <s v="Nikhil"/>
    <x v="3"/>
    <x v="0"/>
    <x v="10"/>
    <x v="0"/>
    <n v="9"/>
    <n v="1010"/>
    <n v="20"/>
    <n v="7272"/>
    <n v="4654"/>
    <n v="2618"/>
    <x v="1"/>
    <x v="4"/>
  </r>
  <r>
    <n v="10324"/>
    <x v="23"/>
    <s v="Neha"/>
    <x v="0"/>
    <x v="2"/>
    <x v="7"/>
    <x v="0"/>
    <n v="7"/>
    <n v="1560"/>
    <n v="10"/>
    <n v="9828"/>
    <n v="6289"/>
    <n v="3539"/>
    <x v="0"/>
    <x v="3"/>
  </r>
  <r>
    <n v="10325"/>
    <x v="13"/>
    <s v="Amit"/>
    <x v="2"/>
    <x v="0"/>
    <x v="0"/>
    <x v="6"/>
    <n v="4"/>
    <n v="1540"/>
    <n v="10"/>
    <n v="5544"/>
    <n v="4158"/>
    <n v="1386"/>
    <x v="1"/>
    <x v="4"/>
  </r>
  <r>
    <n v="10326"/>
    <x v="4"/>
    <s v="Riya"/>
    <x v="0"/>
    <x v="0"/>
    <x v="2"/>
    <x v="3"/>
    <n v="4"/>
    <n v="1620"/>
    <n v="10"/>
    <n v="5832"/>
    <n v="3732"/>
    <n v="2100"/>
    <x v="2"/>
    <x v="1"/>
  </r>
  <r>
    <n v="10327"/>
    <x v="237"/>
    <s v="Vivek"/>
    <x v="1"/>
    <x v="0"/>
    <x v="1"/>
    <x v="5"/>
    <n v="5"/>
    <n v="850"/>
    <n v="10"/>
    <n v="3825"/>
    <n v="2524"/>
    <n v="1301"/>
    <x v="2"/>
    <x v="2"/>
  </r>
  <r>
    <n v="10328"/>
    <x v="238"/>
    <s v="Amit"/>
    <x v="0"/>
    <x v="2"/>
    <x v="5"/>
    <x v="3"/>
    <n v="3"/>
    <n v="1590"/>
    <n v="0"/>
    <n v="4770"/>
    <n v="3291"/>
    <n v="1479"/>
    <x v="0"/>
    <x v="2"/>
  </r>
  <r>
    <n v="10329"/>
    <x v="239"/>
    <s v="Sara"/>
    <x v="1"/>
    <x v="2"/>
    <x v="9"/>
    <x v="1"/>
    <n v="4"/>
    <n v="1840"/>
    <n v="0"/>
    <n v="7360"/>
    <n v="4784"/>
    <n v="2576"/>
    <x v="2"/>
    <x v="3"/>
  </r>
  <r>
    <n v="10330"/>
    <x v="81"/>
    <s v="Nikhil"/>
    <x v="3"/>
    <x v="1"/>
    <x v="11"/>
    <x v="5"/>
    <n v="8"/>
    <n v="610"/>
    <n v="5"/>
    <n v="4636"/>
    <n v="2549"/>
    <n v="2087"/>
    <x v="0"/>
    <x v="0"/>
  </r>
  <r>
    <n v="10331"/>
    <x v="240"/>
    <s v="Nikhil"/>
    <x v="3"/>
    <x v="1"/>
    <x v="11"/>
    <x v="1"/>
    <n v="6"/>
    <n v="1030"/>
    <n v="0"/>
    <n v="6180"/>
    <n v="5253"/>
    <n v="927"/>
    <x v="2"/>
    <x v="3"/>
  </r>
  <r>
    <n v="10332"/>
    <x v="241"/>
    <s v="Sara"/>
    <x v="2"/>
    <x v="1"/>
    <x v="13"/>
    <x v="6"/>
    <n v="12"/>
    <n v="960"/>
    <n v="0"/>
    <n v="11520"/>
    <n v="8524"/>
    <n v="2996"/>
    <x v="1"/>
    <x v="1"/>
  </r>
  <r>
    <n v="10333"/>
    <x v="242"/>
    <s v="Kiran"/>
    <x v="2"/>
    <x v="1"/>
    <x v="11"/>
    <x v="1"/>
    <n v="4"/>
    <n v="710"/>
    <n v="15"/>
    <n v="2414"/>
    <n v="1810"/>
    <n v="604"/>
    <x v="2"/>
    <x v="1"/>
  </r>
  <r>
    <n v="10334"/>
    <x v="243"/>
    <s v="Sneha"/>
    <x v="1"/>
    <x v="2"/>
    <x v="9"/>
    <x v="2"/>
    <n v="15"/>
    <n v="600"/>
    <n v="10"/>
    <n v="8100"/>
    <n v="6075"/>
    <n v="2025"/>
    <x v="2"/>
    <x v="0"/>
  </r>
  <r>
    <n v="10335"/>
    <x v="131"/>
    <s v="Riya"/>
    <x v="1"/>
    <x v="1"/>
    <x v="3"/>
    <x v="0"/>
    <n v="4"/>
    <n v="2000"/>
    <n v="20"/>
    <n v="6400"/>
    <n v="5376"/>
    <n v="1024"/>
    <x v="0"/>
    <x v="4"/>
  </r>
  <r>
    <n v="10336"/>
    <x v="244"/>
    <s v="Anjali"/>
    <x v="3"/>
    <x v="1"/>
    <x v="11"/>
    <x v="6"/>
    <n v="9"/>
    <n v="1770"/>
    <n v="5"/>
    <n v="15133.5"/>
    <n v="11501"/>
    <n v="3632.5"/>
    <x v="2"/>
    <x v="1"/>
  </r>
  <r>
    <n v="10337"/>
    <x v="245"/>
    <s v="Riya"/>
    <x v="0"/>
    <x v="1"/>
    <x v="3"/>
    <x v="2"/>
    <n v="4"/>
    <n v="870"/>
    <n v="10"/>
    <n v="3132"/>
    <n v="2223"/>
    <n v="909"/>
    <x v="0"/>
    <x v="0"/>
  </r>
  <r>
    <n v="10338"/>
    <x v="96"/>
    <s v="Sara"/>
    <x v="0"/>
    <x v="2"/>
    <x v="5"/>
    <x v="0"/>
    <n v="6"/>
    <n v="830"/>
    <n v="15"/>
    <n v="4233"/>
    <n v="2751"/>
    <n v="1482"/>
    <x v="0"/>
    <x v="2"/>
  </r>
  <r>
    <n v="10339"/>
    <x v="141"/>
    <s v="Sara"/>
    <x v="1"/>
    <x v="0"/>
    <x v="10"/>
    <x v="6"/>
    <n v="5"/>
    <n v="950"/>
    <n v="20"/>
    <n v="3800"/>
    <n v="2888"/>
    <n v="912"/>
    <x v="0"/>
    <x v="4"/>
  </r>
  <r>
    <n v="10341"/>
    <x v="246"/>
    <s v="Amit"/>
    <x v="3"/>
    <x v="2"/>
    <x v="12"/>
    <x v="6"/>
    <n v="8"/>
    <n v="1310"/>
    <n v="5"/>
    <n v="9956"/>
    <n v="7267"/>
    <n v="2689"/>
    <x v="3"/>
    <x v="2"/>
  </r>
  <r>
    <n v="10342"/>
    <x v="93"/>
    <s v="Mohit"/>
    <x v="0"/>
    <x v="2"/>
    <x v="9"/>
    <x v="4"/>
    <n v="4"/>
    <n v="1730"/>
    <n v="0"/>
    <n v="6920"/>
    <n v="4498"/>
    <n v="2422"/>
    <x v="3"/>
    <x v="4"/>
  </r>
  <r>
    <n v="10343"/>
    <x v="16"/>
    <s v="Riya"/>
    <x v="0"/>
    <x v="1"/>
    <x v="11"/>
    <x v="2"/>
    <n v="8"/>
    <n v="1850"/>
    <n v="15"/>
    <n v="12580"/>
    <n v="8806"/>
    <n v="3774"/>
    <x v="3"/>
    <x v="1"/>
  </r>
  <r>
    <n v="10344"/>
    <x v="247"/>
    <s v="Vivek"/>
    <x v="3"/>
    <x v="0"/>
    <x v="8"/>
    <x v="2"/>
    <n v="7"/>
    <n v="950"/>
    <n v="0"/>
    <n v="6650"/>
    <n v="5652"/>
    <n v="998"/>
    <x v="0"/>
    <x v="4"/>
  </r>
  <r>
    <n v="10346"/>
    <x v="38"/>
    <s v="Vivek"/>
    <x v="1"/>
    <x v="1"/>
    <x v="11"/>
    <x v="4"/>
    <n v="15"/>
    <n v="540"/>
    <n v="5"/>
    <n v="7695"/>
    <n v="5078"/>
    <n v="2617"/>
    <x v="3"/>
    <x v="2"/>
  </r>
  <r>
    <n v="10347"/>
    <x v="22"/>
    <s v="Nikhil"/>
    <x v="2"/>
    <x v="0"/>
    <x v="10"/>
    <x v="5"/>
    <n v="10"/>
    <n v="560"/>
    <n v="5"/>
    <n v="5320"/>
    <n v="3564"/>
    <n v="1756"/>
    <x v="3"/>
    <x v="0"/>
  </r>
  <r>
    <n v="10348"/>
    <x v="106"/>
    <s v="Mohit"/>
    <x v="0"/>
    <x v="2"/>
    <x v="5"/>
    <x v="1"/>
    <n v="6"/>
    <n v="1220"/>
    <n v="20"/>
    <n v="5856"/>
    <n v="4157"/>
    <n v="1699"/>
    <x v="0"/>
    <x v="0"/>
  </r>
  <r>
    <n v="10349"/>
    <x v="248"/>
    <s v="Nikhil"/>
    <x v="1"/>
    <x v="2"/>
    <x v="12"/>
    <x v="5"/>
    <n v="1"/>
    <n v="1060"/>
    <n v="20"/>
    <n v="848"/>
    <n v="712"/>
    <n v="136"/>
    <x v="3"/>
    <x v="3"/>
  </r>
  <r>
    <n v="10350"/>
    <x v="201"/>
    <s v="Riya"/>
    <x v="0"/>
    <x v="2"/>
    <x v="12"/>
    <x v="4"/>
    <n v="11"/>
    <n v="1730"/>
    <n v="15"/>
    <n v="16175.5"/>
    <n v="10514"/>
    <n v="5661.5"/>
    <x v="1"/>
    <x v="0"/>
  </r>
  <r>
    <n v="10351"/>
    <x v="86"/>
    <s v="Anjali"/>
    <x v="2"/>
    <x v="0"/>
    <x v="8"/>
    <x v="5"/>
    <n v="10"/>
    <n v="530"/>
    <n v="10"/>
    <n v="4770"/>
    <n v="3243"/>
    <n v="1527"/>
    <x v="0"/>
    <x v="3"/>
  </r>
  <r>
    <n v="10353"/>
    <x v="249"/>
    <s v="Riya"/>
    <x v="1"/>
    <x v="0"/>
    <x v="8"/>
    <x v="0"/>
    <n v="3"/>
    <n v="1770"/>
    <n v="0"/>
    <n v="5310"/>
    <n v="2973"/>
    <n v="2337"/>
    <x v="3"/>
    <x v="0"/>
  </r>
  <r>
    <n v="10354"/>
    <x v="42"/>
    <s v="Vivek"/>
    <x v="1"/>
    <x v="2"/>
    <x v="6"/>
    <x v="5"/>
    <n v="8"/>
    <n v="1020"/>
    <n v="10"/>
    <n v="7344"/>
    <n v="5140"/>
    <n v="2204"/>
    <x v="2"/>
    <x v="1"/>
  </r>
  <r>
    <n v="10355"/>
    <x v="250"/>
    <s v="Nikhil"/>
    <x v="2"/>
    <x v="2"/>
    <x v="7"/>
    <x v="3"/>
    <n v="10"/>
    <n v="1480"/>
    <n v="10"/>
    <n v="13320"/>
    <n v="7459"/>
    <n v="5861"/>
    <x v="2"/>
    <x v="4"/>
  </r>
  <r>
    <n v="10356"/>
    <x v="251"/>
    <s v="Kiran"/>
    <x v="1"/>
    <x v="1"/>
    <x v="13"/>
    <x v="2"/>
    <n v="2"/>
    <n v="1540"/>
    <n v="0"/>
    <n v="3080"/>
    <n v="1971"/>
    <n v="1109"/>
    <x v="3"/>
    <x v="2"/>
  </r>
  <r>
    <n v="10357"/>
    <x v="64"/>
    <s v="Mohit"/>
    <x v="0"/>
    <x v="2"/>
    <x v="12"/>
    <x v="0"/>
    <n v="1"/>
    <n v="1870"/>
    <n v="10"/>
    <n v="1683"/>
    <n v="1009"/>
    <n v="674"/>
    <x v="2"/>
    <x v="3"/>
  </r>
  <r>
    <n v="10358"/>
    <x v="61"/>
    <s v="Anjali"/>
    <x v="2"/>
    <x v="0"/>
    <x v="0"/>
    <x v="6"/>
    <n v="9"/>
    <n v="710"/>
    <n v="15"/>
    <n v="5431.5"/>
    <n v="3747"/>
    <n v="1684.5"/>
    <x v="3"/>
    <x v="3"/>
  </r>
  <r>
    <n v="10359"/>
    <x v="252"/>
    <s v="Vivek"/>
    <x v="0"/>
    <x v="0"/>
    <x v="1"/>
    <x v="4"/>
    <n v="12"/>
    <n v="480"/>
    <n v="5"/>
    <n v="5472"/>
    <n v="4377"/>
    <n v="1095"/>
    <x v="1"/>
    <x v="3"/>
  </r>
  <r>
    <n v="10360"/>
    <x v="203"/>
    <s v="Amit"/>
    <x v="2"/>
    <x v="0"/>
    <x v="0"/>
    <x v="1"/>
    <n v="7"/>
    <n v="1990"/>
    <n v="10"/>
    <n v="12537"/>
    <n v="8775"/>
    <n v="3762"/>
    <x v="3"/>
    <x v="2"/>
  </r>
  <r>
    <n v="10361"/>
    <x v="253"/>
    <s v="Amit"/>
    <x v="2"/>
    <x v="0"/>
    <x v="8"/>
    <x v="4"/>
    <n v="12"/>
    <n v="660"/>
    <n v="15"/>
    <n v="6732"/>
    <n v="4510"/>
    <n v="2222"/>
    <x v="1"/>
    <x v="4"/>
  </r>
  <r>
    <n v="10362"/>
    <x v="254"/>
    <s v="Nikhil"/>
    <x v="0"/>
    <x v="2"/>
    <x v="12"/>
    <x v="4"/>
    <n v="8"/>
    <n v="1780"/>
    <n v="15"/>
    <n v="12104"/>
    <n v="6657"/>
    <n v="5447"/>
    <x v="0"/>
    <x v="2"/>
  </r>
  <r>
    <n v="10363"/>
    <x v="255"/>
    <s v="Riya"/>
    <x v="0"/>
    <x v="1"/>
    <x v="13"/>
    <x v="4"/>
    <n v="3"/>
    <n v="1060"/>
    <n v="0"/>
    <n v="3180"/>
    <n v="2130"/>
    <n v="1050"/>
    <x v="0"/>
    <x v="1"/>
  </r>
  <r>
    <n v="10364"/>
    <x v="243"/>
    <s v="Amit"/>
    <x v="0"/>
    <x v="1"/>
    <x v="4"/>
    <x v="2"/>
    <n v="9"/>
    <n v="600"/>
    <n v="15"/>
    <n v="4590"/>
    <n v="3075"/>
    <n v="1515"/>
    <x v="2"/>
    <x v="3"/>
  </r>
  <r>
    <n v="10365"/>
    <x v="256"/>
    <s v="Neha"/>
    <x v="0"/>
    <x v="2"/>
    <x v="9"/>
    <x v="2"/>
    <n v="14"/>
    <n v="1650"/>
    <n v="0"/>
    <n v="23100"/>
    <n v="19635"/>
    <n v="3465"/>
    <x v="0"/>
    <x v="4"/>
  </r>
  <r>
    <n v="10367"/>
    <x v="257"/>
    <s v="Kiran"/>
    <x v="3"/>
    <x v="2"/>
    <x v="9"/>
    <x v="4"/>
    <n v="4"/>
    <n v="200"/>
    <n v="20"/>
    <n v="640"/>
    <n v="505"/>
    <n v="135"/>
    <x v="2"/>
    <x v="2"/>
  </r>
  <r>
    <n v="10368"/>
    <x v="258"/>
    <s v="Amit"/>
    <x v="3"/>
    <x v="2"/>
    <x v="7"/>
    <x v="5"/>
    <n v="13"/>
    <n v="1150"/>
    <n v="0"/>
    <n v="14950"/>
    <n v="9119"/>
    <n v="5831"/>
    <x v="3"/>
    <x v="3"/>
  </r>
  <r>
    <n v="10369"/>
    <x v="155"/>
    <s v="Kiran"/>
    <x v="0"/>
    <x v="0"/>
    <x v="8"/>
    <x v="3"/>
    <n v="10"/>
    <n v="600"/>
    <n v="10"/>
    <n v="5400"/>
    <n v="4590"/>
    <n v="810"/>
    <x v="1"/>
    <x v="2"/>
  </r>
  <r>
    <n v="10370"/>
    <x v="259"/>
    <s v="Mohit"/>
    <x v="1"/>
    <x v="0"/>
    <x v="10"/>
    <x v="5"/>
    <n v="3"/>
    <n v="440"/>
    <n v="10"/>
    <n v="1188"/>
    <n v="689"/>
    <n v="499"/>
    <x v="3"/>
    <x v="4"/>
  </r>
  <r>
    <n v="10371"/>
    <x v="260"/>
    <s v="Vivek"/>
    <x v="1"/>
    <x v="0"/>
    <x v="0"/>
    <x v="2"/>
    <n v="11"/>
    <n v="1700"/>
    <n v="15"/>
    <n v="15895"/>
    <n v="11603"/>
    <n v="4292"/>
    <x v="3"/>
    <x v="1"/>
  </r>
  <r>
    <n v="10372"/>
    <x v="261"/>
    <s v="Anjali"/>
    <x v="2"/>
    <x v="0"/>
    <x v="8"/>
    <x v="4"/>
    <n v="1"/>
    <n v="1640"/>
    <n v="5"/>
    <n v="1558"/>
    <n v="1106"/>
    <n v="452"/>
    <x v="0"/>
    <x v="1"/>
  </r>
  <r>
    <n v="10373"/>
    <x v="262"/>
    <s v="Mohit"/>
    <x v="3"/>
    <x v="0"/>
    <x v="1"/>
    <x v="5"/>
    <n v="15"/>
    <n v="1420"/>
    <n v="20"/>
    <n v="17040"/>
    <n v="12950"/>
    <n v="4090"/>
    <x v="2"/>
    <x v="0"/>
  </r>
  <r>
    <n v="10374"/>
    <x v="263"/>
    <s v="Neha"/>
    <x v="0"/>
    <x v="1"/>
    <x v="3"/>
    <x v="5"/>
    <n v="6"/>
    <n v="1650"/>
    <n v="5"/>
    <n v="9405"/>
    <n v="7712"/>
    <n v="1693"/>
    <x v="1"/>
    <x v="4"/>
  </r>
  <r>
    <n v="10375"/>
    <x v="229"/>
    <s v="Kiran"/>
    <x v="3"/>
    <x v="0"/>
    <x v="10"/>
    <x v="6"/>
    <n v="12"/>
    <n v="1550"/>
    <n v="20"/>
    <n v="14880"/>
    <n v="8630"/>
    <n v="6250"/>
    <x v="1"/>
    <x v="0"/>
  </r>
  <r>
    <n v="10376"/>
    <x v="264"/>
    <s v="Kiran"/>
    <x v="2"/>
    <x v="1"/>
    <x v="3"/>
    <x v="0"/>
    <n v="12"/>
    <n v="1110"/>
    <n v="20"/>
    <n v="10656"/>
    <n v="6287"/>
    <n v="4369"/>
    <x v="1"/>
    <x v="2"/>
  </r>
  <r>
    <n v="10377"/>
    <x v="265"/>
    <s v="Anjali"/>
    <x v="0"/>
    <x v="0"/>
    <x v="0"/>
    <x v="1"/>
    <n v="1"/>
    <n v="1740"/>
    <n v="15"/>
    <n v="1479"/>
    <n v="902"/>
    <n v="577"/>
    <x v="3"/>
    <x v="2"/>
  </r>
  <r>
    <n v="10378"/>
    <x v="266"/>
    <s v="Neha"/>
    <x v="1"/>
    <x v="1"/>
    <x v="13"/>
    <x v="1"/>
    <n v="2"/>
    <n v="850"/>
    <n v="5"/>
    <n v="1615"/>
    <n v="1227"/>
    <n v="388"/>
    <x v="2"/>
    <x v="1"/>
  </r>
  <r>
    <n v="10379"/>
    <x v="267"/>
    <s v="Sneha"/>
    <x v="0"/>
    <x v="1"/>
    <x v="4"/>
    <x v="1"/>
    <n v="15"/>
    <n v="1200"/>
    <n v="20"/>
    <n v="14400"/>
    <n v="7920"/>
    <n v="6480"/>
    <x v="0"/>
    <x v="1"/>
  </r>
  <r>
    <n v="10380"/>
    <x v="262"/>
    <s v="Kiran"/>
    <x v="1"/>
    <x v="0"/>
    <x v="10"/>
    <x v="5"/>
    <n v="10"/>
    <n v="710"/>
    <n v="5"/>
    <n v="6745"/>
    <n v="5598"/>
    <n v="1147"/>
    <x v="1"/>
    <x v="2"/>
  </r>
  <r>
    <n v="10381"/>
    <x v="249"/>
    <s v="Amit"/>
    <x v="3"/>
    <x v="0"/>
    <x v="2"/>
    <x v="6"/>
    <n v="6"/>
    <n v="1140"/>
    <n v="15"/>
    <n v="5814"/>
    <n v="4709"/>
    <n v="1105"/>
    <x v="2"/>
    <x v="1"/>
  </r>
  <r>
    <n v="10382"/>
    <x v="63"/>
    <s v="Neha"/>
    <x v="3"/>
    <x v="1"/>
    <x v="13"/>
    <x v="5"/>
    <n v="14"/>
    <n v="1790"/>
    <n v="15"/>
    <n v="21301"/>
    <n v="12567"/>
    <n v="8734"/>
    <x v="2"/>
    <x v="1"/>
  </r>
  <r>
    <n v="10383"/>
    <x v="110"/>
    <s v="Mohit"/>
    <x v="2"/>
    <x v="1"/>
    <x v="3"/>
    <x v="0"/>
    <n v="13"/>
    <n v="1530"/>
    <n v="20"/>
    <n v="15912"/>
    <n v="11138"/>
    <n v="4774"/>
    <x v="1"/>
    <x v="3"/>
  </r>
  <r>
    <n v="10384"/>
    <x v="109"/>
    <s v="Sneha"/>
    <x v="2"/>
    <x v="1"/>
    <x v="3"/>
    <x v="0"/>
    <n v="8"/>
    <n v="1840"/>
    <n v="20"/>
    <n v="11776"/>
    <n v="7301"/>
    <n v="4475"/>
    <x v="3"/>
    <x v="4"/>
  </r>
  <r>
    <n v="10385"/>
    <x v="268"/>
    <s v="Sara"/>
    <x v="3"/>
    <x v="0"/>
    <x v="8"/>
    <x v="2"/>
    <n v="9"/>
    <n v="1460"/>
    <n v="10"/>
    <n v="11826"/>
    <n v="7923"/>
    <n v="3903"/>
    <x v="2"/>
    <x v="2"/>
  </r>
  <r>
    <n v="10387"/>
    <x v="269"/>
    <s v="Sneha"/>
    <x v="3"/>
    <x v="0"/>
    <x v="0"/>
    <x v="2"/>
    <n v="12"/>
    <n v="1900"/>
    <n v="20"/>
    <n v="18240"/>
    <n v="11491"/>
    <n v="6749"/>
    <x v="3"/>
    <x v="0"/>
  </r>
  <r>
    <n v="10388"/>
    <x v="226"/>
    <s v="Sara"/>
    <x v="0"/>
    <x v="2"/>
    <x v="5"/>
    <x v="3"/>
    <n v="7"/>
    <n v="1370"/>
    <n v="20"/>
    <n v="7672"/>
    <n v="5830"/>
    <n v="1842"/>
    <x v="0"/>
    <x v="4"/>
  </r>
  <r>
    <n v="10389"/>
    <x v="270"/>
    <s v="Amit"/>
    <x v="2"/>
    <x v="1"/>
    <x v="3"/>
    <x v="5"/>
    <n v="1"/>
    <n v="490"/>
    <n v="10"/>
    <n v="441"/>
    <n v="291"/>
    <n v="150"/>
    <x v="3"/>
    <x v="2"/>
  </r>
  <r>
    <n v="10390"/>
    <x v="271"/>
    <s v="Riya"/>
    <x v="1"/>
    <x v="0"/>
    <x v="1"/>
    <x v="6"/>
    <n v="13"/>
    <n v="1940"/>
    <n v="10"/>
    <n v="22698"/>
    <n v="16796"/>
    <n v="5902"/>
    <x v="0"/>
    <x v="4"/>
  </r>
  <r>
    <n v="10391"/>
    <x v="272"/>
    <s v="Neha"/>
    <x v="3"/>
    <x v="2"/>
    <x v="9"/>
    <x v="0"/>
    <n v="10"/>
    <n v="1430"/>
    <n v="20"/>
    <n v="11440"/>
    <n v="8694"/>
    <n v="2746"/>
    <x v="0"/>
    <x v="2"/>
  </r>
  <r>
    <n v="10392"/>
    <x v="126"/>
    <s v="Anjali"/>
    <x v="1"/>
    <x v="1"/>
    <x v="11"/>
    <x v="6"/>
    <n v="3"/>
    <n v="850"/>
    <n v="0"/>
    <n v="2550"/>
    <n v="1479"/>
    <n v="1071"/>
    <x v="0"/>
    <x v="1"/>
  </r>
  <r>
    <n v="10393"/>
    <x v="273"/>
    <s v="Sneha"/>
    <x v="2"/>
    <x v="0"/>
    <x v="8"/>
    <x v="4"/>
    <n v="10"/>
    <n v="1850"/>
    <n v="15"/>
    <n v="15725"/>
    <n v="11164"/>
    <n v="4561"/>
    <x v="0"/>
    <x v="4"/>
  </r>
  <r>
    <n v="10394"/>
    <x v="274"/>
    <s v="Amit"/>
    <x v="2"/>
    <x v="1"/>
    <x v="13"/>
    <x v="4"/>
    <n v="4"/>
    <n v="1990"/>
    <n v="0"/>
    <n v="7960"/>
    <n v="6208"/>
    <n v="1752"/>
    <x v="1"/>
    <x v="1"/>
  </r>
  <r>
    <n v="10395"/>
    <x v="275"/>
    <s v="Riya"/>
    <x v="1"/>
    <x v="0"/>
    <x v="10"/>
    <x v="0"/>
    <n v="3"/>
    <n v="1760"/>
    <n v="10"/>
    <n v="4752"/>
    <n v="3754"/>
    <n v="998"/>
    <x v="2"/>
    <x v="3"/>
  </r>
  <r>
    <n v="10396"/>
    <x v="276"/>
    <s v="Neha"/>
    <x v="1"/>
    <x v="1"/>
    <x v="11"/>
    <x v="2"/>
    <n v="12"/>
    <n v="940"/>
    <n v="20"/>
    <n v="9024"/>
    <n v="6046"/>
    <n v="2978"/>
    <x v="0"/>
    <x v="2"/>
  </r>
  <r>
    <n v="10397"/>
    <x v="277"/>
    <s v="Mohit"/>
    <x v="1"/>
    <x v="0"/>
    <x v="8"/>
    <x v="0"/>
    <n v="9"/>
    <n v="1960"/>
    <n v="15"/>
    <n v="14994"/>
    <n v="11245"/>
    <n v="3749"/>
    <x v="2"/>
    <x v="3"/>
  </r>
  <r>
    <n v="10398"/>
    <x v="232"/>
    <s v="Amit"/>
    <x v="0"/>
    <x v="2"/>
    <x v="12"/>
    <x v="4"/>
    <n v="15"/>
    <n v="1400"/>
    <n v="5"/>
    <n v="19950"/>
    <n v="16957"/>
    <n v="2993"/>
    <x v="2"/>
    <x v="3"/>
  </r>
  <r>
    <n v="10399"/>
    <x v="278"/>
    <s v="Vivek"/>
    <x v="3"/>
    <x v="2"/>
    <x v="12"/>
    <x v="3"/>
    <n v="7"/>
    <n v="1780"/>
    <n v="0"/>
    <n v="12460"/>
    <n v="8223"/>
    <n v="4237"/>
    <x v="0"/>
    <x v="4"/>
  </r>
  <r>
    <n v="10400"/>
    <x v="202"/>
    <s v="Mohit"/>
    <x v="0"/>
    <x v="0"/>
    <x v="0"/>
    <x v="4"/>
    <n v="7"/>
    <n v="1260"/>
    <n v="0"/>
    <n v="8820"/>
    <n v="4851"/>
    <n v="3969"/>
    <x v="3"/>
    <x v="2"/>
  </r>
  <r>
    <n v="10401"/>
    <x v="279"/>
    <s v="Neha"/>
    <x v="3"/>
    <x v="1"/>
    <x v="11"/>
    <x v="4"/>
    <n v="4"/>
    <n v="530"/>
    <n v="15"/>
    <n v="1802"/>
    <n v="1423"/>
    <n v="379"/>
    <x v="2"/>
    <x v="4"/>
  </r>
  <r>
    <n v="10402"/>
    <x v="280"/>
    <s v="Sara"/>
    <x v="0"/>
    <x v="2"/>
    <x v="5"/>
    <x v="4"/>
    <n v="3"/>
    <n v="270"/>
    <n v="5"/>
    <n v="769.5"/>
    <n v="584"/>
    <n v="185.5"/>
    <x v="0"/>
    <x v="0"/>
  </r>
  <r>
    <n v="10403"/>
    <x v="281"/>
    <s v="Kiran"/>
    <x v="0"/>
    <x v="2"/>
    <x v="12"/>
    <x v="0"/>
    <n v="9"/>
    <n v="950"/>
    <n v="10"/>
    <n v="7695"/>
    <n v="5848"/>
    <n v="1847"/>
    <x v="0"/>
    <x v="3"/>
  </r>
  <r>
    <n v="10404"/>
    <x v="88"/>
    <s v="Amit"/>
    <x v="1"/>
    <x v="2"/>
    <x v="12"/>
    <x v="5"/>
    <n v="13"/>
    <n v="1620"/>
    <n v="20"/>
    <n v="16848"/>
    <n v="12636"/>
    <n v="4212"/>
    <x v="3"/>
    <x v="2"/>
  </r>
  <r>
    <n v="10406"/>
    <x v="282"/>
    <s v="Amit"/>
    <x v="3"/>
    <x v="0"/>
    <x v="0"/>
    <x v="5"/>
    <n v="15"/>
    <n v="260"/>
    <n v="20"/>
    <n v="3120"/>
    <n v="1965"/>
    <n v="1155"/>
    <x v="3"/>
    <x v="2"/>
  </r>
  <r>
    <n v="10407"/>
    <x v="283"/>
    <s v="Sara"/>
    <x v="0"/>
    <x v="2"/>
    <x v="9"/>
    <x v="0"/>
    <n v="5"/>
    <n v="1260"/>
    <n v="15"/>
    <n v="5355"/>
    <n v="3159"/>
    <n v="2196"/>
    <x v="0"/>
    <x v="4"/>
  </r>
  <r>
    <n v="10408"/>
    <x v="187"/>
    <s v="Riya"/>
    <x v="2"/>
    <x v="2"/>
    <x v="6"/>
    <x v="3"/>
    <n v="2"/>
    <n v="880"/>
    <n v="10"/>
    <n v="1584"/>
    <n v="950"/>
    <n v="634"/>
    <x v="1"/>
    <x v="1"/>
  </r>
  <r>
    <n v="10409"/>
    <x v="34"/>
    <s v="Riya"/>
    <x v="0"/>
    <x v="0"/>
    <x v="1"/>
    <x v="4"/>
    <n v="14"/>
    <n v="1180"/>
    <n v="10"/>
    <n v="14868"/>
    <n v="10704"/>
    <n v="4164"/>
    <x v="1"/>
    <x v="2"/>
  </r>
  <r>
    <n v="10410"/>
    <x v="253"/>
    <s v="Mohit"/>
    <x v="0"/>
    <x v="1"/>
    <x v="3"/>
    <x v="4"/>
    <n v="8"/>
    <n v="1150"/>
    <n v="15"/>
    <n v="7820"/>
    <n v="4535"/>
    <n v="3285"/>
    <x v="2"/>
    <x v="2"/>
  </r>
  <r>
    <n v="10411"/>
    <x v="89"/>
    <s v="Nikhil"/>
    <x v="0"/>
    <x v="1"/>
    <x v="3"/>
    <x v="3"/>
    <n v="11"/>
    <n v="810"/>
    <n v="5"/>
    <n v="8464.5"/>
    <n v="6771"/>
    <n v="1693.5"/>
    <x v="0"/>
    <x v="4"/>
  </r>
  <r>
    <n v="10412"/>
    <x v="284"/>
    <s v="Neha"/>
    <x v="3"/>
    <x v="2"/>
    <x v="6"/>
    <x v="3"/>
    <n v="15"/>
    <n v="870"/>
    <n v="0"/>
    <n v="13050"/>
    <n v="10179"/>
    <n v="2871"/>
    <x v="2"/>
    <x v="0"/>
  </r>
  <r>
    <n v="10413"/>
    <x v="258"/>
    <s v="Anjali"/>
    <x v="1"/>
    <x v="1"/>
    <x v="13"/>
    <x v="5"/>
    <n v="8"/>
    <n v="1380"/>
    <n v="5"/>
    <n v="10488"/>
    <n v="8600"/>
    <n v="1888"/>
    <x v="1"/>
    <x v="3"/>
  </r>
  <r>
    <n v="10414"/>
    <x v="184"/>
    <s v="Vivek"/>
    <x v="0"/>
    <x v="0"/>
    <x v="1"/>
    <x v="0"/>
    <n v="10"/>
    <n v="280"/>
    <n v="0"/>
    <n v="2800"/>
    <n v="1596"/>
    <n v="1204"/>
    <x v="3"/>
    <x v="4"/>
  </r>
  <r>
    <n v="10415"/>
    <x v="285"/>
    <s v="Sara"/>
    <x v="0"/>
    <x v="2"/>
    <x v="5"/>
    <x v="0"/>
    <n v="12"/>
    <n v="1680"/>
    <n v="5"/>
    <n v="19152"/>
    <n v="14938"/>
    <n v="4214"/>
    <x v="0"/>
    <x v="3"/>
  </r>
  <r>
    <n v="10416"/>
    <x v="286"/>
    <s v="Neha"/>
    <x v="0"/>
    <x v="1"/>
    <x v="3"/>
    <x v="1"/>
    <n v="4"/>
    <n v="1220"/>
    <n v="5"/>
    <n v="4636"/>
    <n v="3337"/>
    <n v="1299"/>
    <x v="3"/>
    <x v="1"/>
  </r>
  <r>
    <n v="10417"/>
    <x v="151"/>
    <s v="Anjali"/>
    <x v="2"/>
    <x v="1"/>
    <x v="4"/>
    <x v="2"/>
    <n v="5"/>
    <n v="500"/>
    <n v="5"/>
    <n v="2375"/>
    <n v="1496"/>
    <n v="879"/>
    <x v="1"/>
    <x v="3"/>
  </r>
  <r>
    <n v="10418"/>
    <x v="287"/>
    <s v="Sneha"/>
    <x v="3"/>
    <x v="0"/>
    <x v="2"/>
    <x v="4"/>
    <n v="14"/>
    <n v="740"/>
    <n v="0"/>
    <n v="10360"/>
    <n v="6941"/>
    <n v="3419"/>
    <x v="1"/>
    <x v="0"/>
  </r>
  <r>
    <n v="10419"/>
    <x v="230"/>
    <s v="Riya"/>
    <x v="0"/>
    <x v="2"/>
    <x v="5"/>
    <x v="5"/>
    <n v="13"/>
    <n v="1610"/>
    <n v="0"/>
    <n v="20930"/>
    <n v="15069"/>
    <n v="5861"/>
    <x v="3"/>
    <x v="4"/>
  </r>
  <r>
    <n v="10420"/>
    <x v="98"/>
    <s v="Riya"/>
    <x v="3"/>
    <x v="0"/>
    <x v="2"/>
    <x v="1"/>
    <n v="6"/>
    <n v="1630"/>
    <n v="0"/>
    <n v="9780"/>
    <n v="6552"/>
    <n v="3228"/>
    <x v="0"/>
    <x v="3"/>
  </r>
  <r>
    <n v="10421"/>
    <x v="38"/>
    <s v="Vivek"/>
    <x v="2"/>
    <x v="0"/>
    <x v="10"/>
    <x v="2"/>
    <n v="9"/>
    <n v="1820"/>
    <n v="5"/>
    <n v="15561"/>
    <n v="11515"/>
    <n v="4046"/>
    <x v="2"/>
    <x v="3"/>
  </r>
  <r>
    <n v="10422"/>
    <x v="280"/>
    <s v="Anjali"/>
    <x v="1"/>
    <x v="0"/>
    <x v="2"/>
    <x v="0"/>
    <n v="12"/>
    <n v="1150"/>
    <n v="20"/>
    <n v="11040"/>
    <n v="6513"/>
    <n v="4527"/>
    <x v="3"/>
    <x v="1"/>
  </r>
  <r>
    <n v="10423"/>
    <x v="288"/>
    <s v="Kiran"/>
    <x v="0"/>
    <x v="0"/>
    <x v="10"/>
    <x v="6"/>
    <n v="13"/>
    <n v="640"/>
    <n v="5"/>
    <n v="7904"/>
    <n v="6718"/>
    <n v="1186"/>
    <x v="3"/>
    <x v="4"/>
  </r>
  <r>
    <n v="10424"/>
    <x v="289"/>
    <s v="Sneha"/>
    <x v="3"/>
    <x v="2"/>
    <x v="6"/>
    <x v="1"/>
    <n v="9"/>
    <n v="1460"/>
    <n v="15"/>
    <n v="11169"/>
    <n v="9381"/>
    <n v="1788"/>
    <x v="3"/>
    <x v="4"/>
  </r>
  <r>
    <n v="10425"/>
    <x v="89"/>
    <s v="Neha"/>
    <x v="1"/>
    <x v="2"/>
    <x v="6"/>
    <x v="2"/>
    <n v="6"/>
    <n v="870"/>
    <n v="0"/>
    <n v="5220"/>
    <n v="4019"/>
    <n v="1201"/>
    <x v="2"/>
    <x v="0"/>
  </r>
  <r>
    <n v="10426"/>
    <x v="6"/>
    <s v="Kiran"/>
    <x v="3"/>
    <x v="1"/>
    <x v="11"/>
    <x v="2"/>
    <n v="5"/>
    <n v="730"/>
    <n v="10"/>
    <n v="3285"/>
    <n v="2660"/>
    <n v="625"/>
    <x v="2"/>
    <x v="3"/>
  </r>
  <r>
    <n v="10427"/>
    <x v="108"/>
    <s v="Kiran"/>
    <x v="0"/>
    <x v="1"/>
    <x v="11"/>
    <x v="2"/>
    <n v="4"/>
    <n v="280"/>
    <n v="15"/>
    <n v="952"/>
    <n v="675"/>
    <n v="277"/>
    <x v="2"/>
    <x v="0"/>
  </r>
  <r>
    <n v="10428"/>
    <x v="128"/>
    <s v="Vivek"/>
    <x v="3"/>
    <x v="0"/>
    <x v="2"/>
    <x v="0"/>
    <n v="2"/>
    <n v="1480"/>
    <n v="5"/>
    <n v="2812"/>
    <n v="2305"/>
    <n v="507"/>
    <x v="0"/>
    <x v="2"/>
  </r>
  <r>
    <n v="10429"/>
    <x v="107"/>
    <s v="Kiran"/>
    <x v="2"/>
    <x v="2"/>
    <x v="5"/>
    <x v="3"/>
    <n v="12"/>
    <n v="1670"/>
    <n v="20"/>
    <n v="16032"/>
    <n v="12024"/>
    <n v="4008"/>
    <x v="3"/>
    <x v="3"/>
  </r>
  <r>
    <n v="10430"/>
    <x v="84"/>
    <s v="Anjali"/>
    <x v="0"/>
    <x v="1"/>
    <x v="13"/>
    <x v="1"/>
    <n v="13"/>
    <n v="590"/>
    <n v="10"/>
    <n v="6903"/>
    <n v="5453"/>
    <n v="1450"/>
    <x v="2"/>
    <x v="0"/>
  </r>
  <r>
    <n v="10431"/>
    <x v="290"/>
    <s v="Anjali"/>
    <x v="2"/>
    <x v="0"/>
    <x v="8"/>
    <x v="6"/>
    <n v="8"/>
    <n v="810"/>
    <n v="5"/>
    <n v="6156"/>
    <n v="4617"/>
    <n v="1539"/>
    <x v="3"/>
    <x v="0"/>
  </r>
  <r>
    <n v="10432"/>
    <x v="246"/>
    <s v="Amit"/>
    <x v="2"/>
    <x v="2"/>
    <x v="5"/>
    <x v="1"/>
    <n v="13"/>
    <n v="1530"/>
    <n v="5"/>
    <n v="18895.5"/>
    <n v="15683"/>
    <n v="3212.5"/>
    <x v="2"/>
    <x v="1"/>
  </r>
  <r>
    <n v="10433"/>
    <x v="33"/>
    <s v="Nikhil"/>
    <x v="3"/>
    <x v="2"/>
    <x v="12"/>
    <x v="2"/>
    <n v="9"/>
    <n v="830"/>
    <n v="0"/>
    <n v="7470"/>
    <n v="5677"/>
    <n v="1793"/>
    <x v="3"/>
    <x v="1"/>
  </r>
  <r>
    <n v="10434"/>
    <x v="109"/>
    <s v="Kiran"/>
    <x v="0"/>
    <x v="1"/>
    <x v="13"/>
    <x v="6"/>
    <n v="14"/>
    <n v="1940"/>
    <n v="5"/>
    <n v="25802"/>
    <n v="19093"/>
    <n v="6709"/>
    <x v="2"/>
    <x v="2"/>
  </r>
  <r>
    <n v="10435"/>
    <x v="147"/>
    <s v="Sara"/>
    <x v="2"/>
    <x v="0"/>
    <x v="0"/>
    <x v="3"/>
    <n v="3"/>
    <n v="1210"/>
    <n v="5"/>
    <n v="3448.5"/>
    <n v="2827"/>
    <n v="621.5"/>
    <x v="1"/>
    <x v="4"/>
  </r>
  <r>
    <n v="10436"/>
    <x v="291"/>
    <s v="Kiran"/>
    <x v="3"/>
    <x v="0"/>
    <x v="2"/>
    <x v="5"/>
    <n v="2"/>
    <n v="220"/>
    <n v="10"/>
    <n v="396"/>
    <n v="265"/>
    <n v="131"/>
    <x v="3"/>
    <x v="1"/>
  </r>
  <r>
    <n v="10437"/>
    <x v="172"/>
    <s v="Vivek"/>
    <x v="3"/>
    <x v="1"/>
    <x v="13"/>
    <x v="1"/>
    <n v="15"/>
    <n v="1850"/>
    <n v="10"/>
    <n v="24975"/>
    <n v="18481"/>
    <n v="6494"/>
    <x v="2"/>
    <x v="4"/>
  </r>
  <r>
    <n v="10438"/>
    <x v="68"/>
    <s v="Vivek"/>
    <x v="3"/>
    <x v="0"/>
    <x v="10"/>
    <x v="1"/>
    <n v="2"/>
    <n v="1180"/>
    <n v="15"/>
    <n v="2006"/>
    <n v="1404"/>
    <n v="602"/>
    <x v="2"/>
    <x v="2"/>
  </r>
  <r>
    <n v="10439"/>
    <x v="292"/>
    <s v="Anjali"/>
    <x v="3"/>
    <x v="0"/>
    <x v="10"/>
    <x v="4"/>
    <n v="1"/>
    <n v="1460"/>
    <n v="20"/>
    <n v="1168"/>
    <n v="817"/>
    <n v="351"/>
    <x v="2"/>
    <x v="3"/>
  </r>
  <r>
    <n v="10440"/>
    <x v="293"/>
    <s v="Neha"/>
    <x v="3"/>
    <x v="2"/>
    <x v="6"/>
    <x v="1"/>
    <n v="9"/>
    <n v="520"/>
    <n v="10"/>
    <n v="4212"/>
    <n v="2442"/>
    <n v="1770"/>
    <x v="2"/>
    <x v="1"/>
  </r>
  <r>
    <n v="10441"/>
    <x v="294"/>
    <s v="Nikhil"/>
    <x v="3"/>
    <x v="2"/>
    <x v="7"/>
    <x v="3"/>
    <n v="14"/>
    <n v="1240"/>
    <n v="20"/>
    <n v="13888"/>
    <n v="10832"/>
    <n v="3056"/>
    <x v="3"/>
    <x v="1"/>
  </r>
  <r>
    <n v="10442"/>
    <x v="295"/>
    <s v="Amit"/>
    <x v="1"/>
    <x v="1"/>
    <x v="3"/>
    <x v="3"/>
    <n v="7"/>
    <n v="810"/>
    <n v="5"/>
    <n v="5386.5"/>
    <n v="3824"/>
    <n v="1562.5"/>
    <x v="1"/>
    <x v="4"/>
  </r>
  <r>
    <n v="10443"/>
    <x v="185"/>
    <s v="Kiran"/>
    <x v="1"/>
    <x v="0"/>
    <x v="10"/>
    <x v="3"/>
    <n v="7"/>
    <n v="1470"/>
    <n v="5"/>
    <n v="9775.5"/>
    <n v="5865"/>
    <n v="3910.5"/>
    <x v="0"/>
    <x v="4"/>
  </r>
  <r>
    <n v="10444"/>
    <x v="296"/>
    <s v="Sara"/>
    <x v="0"/>
    <x v="2"/>
    <x v="7"/>
    <x v="6"/>
    <n v="13"/>
    <n v="1770"/>
    <n v="0"/>
    <n v="23010"/>
    <n v="16567"/>
    <n v="6443"/>
    <x v="1"/>
    <x v="4"/>
  </r>
  <r>
    <n v="10445"/>
    <x v="186"/>
    <s v="Mohit"/>
    <x v="2"/>
    <x v="2"/>
    <x v="5"/>
    <x v="3"/>
    <n v="12"/>
    <n v="780"/>
    <n v="5"/>
    <n v="8892"/>
    <n v="5513"/>
    <n v="3379"/>
    <x v="3"/>
    <x v="3"/>
  </r>
  <r>
    <n v="10446"/>
    <x v="297"/>
    <s v="Anjali"/>
    <x v="1"/>
    <x v="2"/>
    <x v="9"/>
    <x v="3"/>
    <n v="7"/>
    <n v="1020"/>
    <n v="15"/>
    <n v="6069"/>
    <n v="4126"/>
    <n v="1943"/>
    <x v="1"/>
    <x v="2"/>
  </r>
  <r>
    <n v="10447"/>
    <x v="139"/>
    <s v="Vivek"/>
    <x v="3"/>
    <x v="1"/>
    <x v="3"/>
    <x v="3"/>
    <n v="9"/>
    <n v="1900"/>
    <n v="20"/>
    <n v="13680"/>
    <n v="11217"/>
    <n v="2463"/>
    <x v="3"/>
    <x v="3"/>
  </r>
  <r>
    <n v="10448"/>
    <x v="298"/>
    <s v="Amit"/>
    <x v="1"/>
    <x v="0"/>
    <x v="1"/>
    <x v="1"/>
    <n v="6"/>
    <n v="810"/>
    <n v="5"/>
    <n v="4617"/>
    <n v="3555"/>
    <n v="1062"/>
    <x v="1"/>
    <x v="4"/>
  </r>
  <r>
    <n v="10449"/>
    <x v="78"/>
    <s v="Sara"/>
    <x v="3"/>
    <x v="0"/>
    <x v="8"/>
    <x v="2"/>
    <n v="6"/>
    <n v="490"/>
    <n v="5"/>
    <n v="2793"/>
    <n v="1592"/>
    <n v="1201"/>
    <x v="3"/>
    <x v="2"/>
  </r>
  <r>
    <n v="10450"/>
    <x v="299"/>
    <s v="Vivek"/>
    <x v="3"/>
    <x v="1"/>
    <x v="3"/>
    <x v="4"/>
    <n v="14"/>
    <n v="1750"/>
    <n v="5"/>
    <n v="23275"/>
    <n v="18852"/>
    <n v="4423"/>
    <x v="1"/>
    <x v="3"/>
  </r>
  <r>
    <n v="10451"/>
    <x v="300"/>
    <s v="Amit"/>
    <x v="0"/>
    <x v="2"/>
    <x v="5"/>
    <x v="2"/>
    <n v="15"/>
    <n v="510"/>
    <n v="0"/>
    <n v="7650"/>
    <n v="4972"/>
    <n v="2678"/>
    <x v="2"/>
    <x v="1"/>
  </r>
  <r>
    <n v="10452"/>
    <x v="6"/>
    <s v="Kiran"/>
    <x v="1"/>
    <x v="0"/>
    <x v="0"/>
    <x v="5"/>
    <n v="2"/>
    <n v="1000"/>
    <n v="15"/>
    <n v="1700"/>
    <n v="1258"/>
    <n v="442"/>
    <x v="2"/>
    <x v="1"/>
  </r>
  <r>
    <n v="10453"/>
    <x v="301"/>
    <s v="Vivek"/>
    <x v="3"/>
    <x v="0"/>
    <x v="0"/>
    <x v="6"/>
    <n v="6"/>
    <n v="620"/>
    <n v="20"/>
    <n v="2976"/>
    <n v="2529"/>
    <n v="447"/>
    <x v="0"/>
    <x v="1"/>
  </r>
  <r>
    <n v="10454"/>
    <x v="302"/>
    <s v="Nikhil"/>
    <x v="2"/>
    <x v="2"/>
    <x v="9"/>
    <x v="0"/>
    <n v="2"/>
    <n v="420"/>
    <n v="10"/>
    <n v="756"/>
    <n v="582"/>
    <n v="174"/>
    <x v="0"/>
    <x v="4"/>
  </r>
  <r>
    <n v="10455"/>
    <x v="303"/>
    <s v="Amit"/>
    <x v="2"/>
    <x v="2"/>
    <x v="5"/>
    <x v="2"/>
    <n v="7"/>
    <n v="830"/>
    <n v="10"/>
    <n v="5229"/>
    <n v="4078"/>
    <n v="1151"/>
    <x v="3"/>
    <x v="0"/>
  </r>
  <r>
    <n v="10456"/>
    <x v="266"/>
    <s v="Nikhil"/>
    <x v="0"/>
    <x v="0"/>
    <x v="8"/>
    <x v="6"/>
    <n v="11"/>
    <n v="1940"/>
    <n v="5"/>
    <n v="20273"/>
    <n v="16015"/>
    <n v="4258"/>
    <x v="2"/>
    <x v="2"/>
  </r>
  <r>
    <n v="10457"/>
    <x v="304"/>
    <s v="Vivek"/>
    <x v="2"/>
    <x v="2"/>
    <x v="9"/>
    <x v="2"/>
    <n v="15"/>
    <n v="380"/>
    <n v="20"/>
    <n v="4560"/>
    <n v="2690"/>
    <n v="1870"/>
    <x v="3"/>
    <x v="2"/>
  </r>
  <r>
    <n v="10458"/>
    <x v="184"/>
    <s v="Sara"/>
    <x v="2"/>
    <x v="1"/>
    <x v="3"/>
    <x v="4"/>
    <n v="11"/>
    <n v="970"/>
    <n v="10"/>
    <n v="9603"/>
    <n v="6818"/>
    <n v="2785"/>
    <x v="0"/>
    <x v="1"/>
  </r>
  <r>
    <n v="10459"/>
    <x v="305"/>
    <s v="Riya"/>
    <x v="2"/>
    <x v="2"/>
    <x v="5"/>
    <x v="5"/>
    <n v="2"/>
    <n v="1380"/>
    <n v="5"/>
    <n v="2622"/>
    <n v="1546"/>
    <n v="1076"/>
    <x v="2"/>
    <x v="0"/>
  </r>
  <r>
    <n v="10460"/>
    <x v="247"/>
    <s v="Kiran"/>
    <x v="3"/>
    <x v="0"/>
    <x v="10"/>
    <x v="6"/>
    <n v="2"/>
    <n v="1820"/>
    <n v="10"/>
    <n v="3276"/>
    <n v="2162"/>
    <n v="1114"/>
    <x v="2"/>
    <x v="0"/>
  </r>
  <r>
    <n v="10461"/>
    <x v="227"/>
    <s v="Nikhil"/>
    <x v="2"/>
    <x v="2"/>
    <x v="12"/>
    <x v="3"/>
    <n v="13"/>
    <n v="1140"/>
    <n v="10"/>
    <n v="13338"/>
    <n v="9469"/>
    <n v="3869"/>
    <x v="0"/>
    <x v="1"/>
  </r>
  <r>
    <n v="10462"/>
    <x v="306"/>
    <s v="Anjali"/>
    <x v="0"/>
    <x v="2"/>
    <x v="6"/>
    <x v="3"/>
    <n v="4"/>
    <n v="1170"/>
    <n v="0"/>
    <n v="4680"/>
    <n v="3088"/>
    <n v="1592"/>
    <x v="1"/>
    <x v="0"/>
  </r>
  <r>
    <n v="10463"/>
    <x v="307"/>
    <s v="Nikhil"/>
    <x v="1"/>
    <x v="0"/>
    <x v="2"/>
    <x v="6"/>
    <n v="5"/>
    <n v="390"/>
    <n v="5"/>
    <n v="1852.5"/>
    <n v="1574"/>
    <n v="278.5"/>
    <x v="3"/>
    <x v="3"/>
  </r>
  <r>
    <n v="10464"/>
    <x v="5"/>
    <s v="Anjali"/>
    <x v="2"/>
    <x v="1"/>
    <x v="13"/>
    <x v="3"/>
    <n v="4"/>
    <n v="1000"/>
    <n v="5"/>
    <n v="3800"/>
    <n v="2812"/>
    <n v="988"/>
    <x v="1"/>
    <x v="3"/>
  </r>
  <r>
    <n v="10465"/>
    <x v="173"/>
    <s v="Riya"/>
    <x v="0"/>
    <x v="2"/>
    <x v="12"/>
    <x v="5"/>
    <n v="7"/>
    <n v="1230"/>
    <n v="5"/>
    <n v="8179.5"/>
    <n v="5643"/>
    <n v="2536.5"/>
    <x v="1"/>
    <x v="0"/>
  </r>
  <r>
    <n v="10466"/>
    <x v="167"/>
    <s v="Anjali"/>
    <x v="0"/>
    <x v="1"/>
    <x v="4"/>
    <x v="4"/>
    <n v="2"/>
    <n v="1520"/>
    <n v="5"/>
    <n v="2888"/>
    <n v="2166"/>
    <n v="722"/>
    <x v="1"/>
    <x v="0"/>
  </r>
  <r>
    <n v="10468"/>
    <x v="70"/>
    <s v="Nikhil"/>
    <x v="2"/>
    <x v="1"/>
    <x v="13"/>
    <x v="2"/>
    <n v="7"/>
    <n v="1950"/>
    <n v="10"/>
    <n v="12285"/>
    <n v="7739"/>
    <n v="4546"/>
    <x v="1"/>
    <x v="2"/>
  </r>
  <r>
    <n v="10469"/>
    <x v="257"/>
    <s v="Sara"/>
    <x v="2"/>
    <x v="1"/>
    <x v="13"/>
    <x v="1"/>
    <n v="9"/>
    <n v="640"/>
    <n v="0"/>
    <n v="5760"/>
    <n v="3456"/>
    <n v="2304"/>
    <x v="2"/>
    <x v="1"/>
  </r>
  <r>
    <n v="10470"/>
    <x v="192"/>
    <s v="Neha"/>
    <x v="3"/>
    <x v="0"/>
    <x v="2"/>
    <x v="1"/>
    <n v="10"/>
    <n v="1330"/>
    <n v="15"/>
    <n v="11305"/>
    <n v="7800"/>
    <n v="3505"/>
    <x v="1"/>
    <x v="1"/>
  </r>
  <r>
    <n v="10471"/>
    <x v="308"/>
    <s v="Sneha"/>
    <x v="2"/>
    <x v="1"/>
    <x v="3"/>
    <x v="1"/>
    <n v="12"/>
    <n v="1120"/>
    <n v="5"/>
    <n v="12768"/>
    <n v="8426"/>
    <n v="4342"/>
    <x v="0"/>
    <x v="3"/>
  </r>
  <r>
    <n v="10472"/>
    <x v="180"/>
    <s v="Sneha"/>
    <x v="3"/>
    <x v="1"/>
    <x v="13"/>
    <x v="4"/>
    <n v="9"/>
    <n v="230"/>
    <n v="20"/>
    <n v="1656"/>
    <n v="1258"/>
    <n v="398"/>
    <x v="1"/>
    <x v="4"/>
  </r>
  <r>
    <n v="10473"/>
    <x v="153"/>
    <s v="Mohit"/>
    <x v="0"/>
    <x v="1"/>
    <x v="3"/>
    <x v="3"/>
    <n v="10"/>
    <n v="320"/>
    <n v="20"/>
    <n v="2560"/>
    <n v="2176"/>
    <n v="384"/>
    <x v="2"/>
    <x v="1"/>
  </r>
  <r>
    <n v="10474"/>
    <x v="258"/>
    <s v="Neha"/>
    <x v="1"/>
    <x v="2"/>
    <x v="6"/>
    <x v="1"/>
    <n v="2"/>
    <n v="800"/>
    <n v="5"/>
    <n v="1520"/>
    <n v="912"/>
    <n v="608"/>
    <x v="0"/>
    <x v="0"/>
  </r>
  <r>
    <n v="10475"/>
    <x v="309"/>
    <s v="Mohit"/>
    <x v="0"/>
    <x v="0"/>
    <x v="0"/>
    <x v="4"/>
    <n v="1"/>
    <n v="1500"/>
    <n v="10"/>
    <n v="1350"/>
    <n v="1134"/>
    <n v="216"/>
    <x v="1"/>
    <x v="4"/>
  </r>
  <r>
    <n v="10476"/>
    <x v="163"/>
    <s v="Amit"/>
    <x v="2"/>
    <x v="1"/>
    <x v="4"/>
    <x v="2"/>
    <n v="10"/>
    <n v="1490"/>
    <n v="20"/>
    <n v="11920"/>
    <n v="6913"/>
    <n v="5007"/>
    <x v="2"/>
    <x v="3"/>
  </r>
  <r>
    <n v="10477"/>
    <x v="310"/>
    <s v="Amit"/>
    <x v="3"/>
    <x v="1"/>
    <x v="11"/>
    <x v="1"/>
    <n v="5"/>
    <n v="1610"/>
    <n v="15"/>
    <n v="6842.5"/>
    <n v="4310"/>
    <n v="2532.5"/>
    <x v="3"/>
    <x v="3"/>
  </r>
  <r>
    <n v="10478"/>
    <x v="56"/>
    <s v="Sneha"/>
    <x v="3"/>
    <x v="0"/>
    <x v="0"/>
    <x v="1"/>
    <n v="15"/>
    <n v="1520"/>
    <n v="15"/>
    <n v="19380"/>
    <n v="11628"/>
    <n v="7752"/>
    <x v="0"/>
    <x v="0"/>
  </r>
  <r>
    <n v="10479"/>
    <x v="114"/>
    <s v="Anjali"/>
    <x v="3"/>
    <x v="2"/>
    <x v="7"/>
    <x v="3"/>
    <n v="3"/>
    <n v="540"/>
    <n v="15"/>
    <n v="1377"/>
    <n v="1129"/>
    <n v="248"/>
    <x v="3"/>
    <x v="1"/>
  </r>
  <r>
    <n v="10480"/>
    <x v="311"/>
    <s v="Amit"/>
    <x v="2"/>
    <x v="2"/>
    <x v="7"/>
    <x v="0"/>
    <n v="6"/>
    <n v="1020"/>
    <n v="20"/>
    <n v="4896"/>
    <n v="2888"/>
    <n v="2008"/>
    <x v="3"/>
    <x v="3"/>
  </r>
  <r>
    <n v="10481"/>
    <x v="301"/>
    <s v="Mohit"/>
    <x v="2"/>
    <x v="1"/>
    <x v="13"/>
    <x v="3"/>
    <n v="6"/>
    <n v="360"/>
    <n v="10"/>
    <n v="1944"/>
    <n v="1477"/>
    <n v="467"/>
    <x v="2"/>
    <x v="4"/>
  </r>
  <r>
    <n v="10482"/>
    <x v="312"/>
    <s v="Riya"/>
    <x v="3"/>
    <x v="2"/>
    <x v="6"/>
    <x v="4"/>
    <n v="9"/>
    <n v="1890"/>
    <n v="5"/>
    <n v="16159.5"/>
    <n v="13089"/>
    <n v="3070.5"/>
    <x v="2"/>
    <x v="2"/>
  </r>
  <r>
    <n v="10483"/>
    <x v="237"/>
    <s v="Riya"/>
    <x v="3"/>
    <x v="0"/>
    <x v="1"/>
    <x v="2"/>
    <n v="13"/>
    <n v="770"/>
    <n v="10"/>
    <n v="9009"/>
    <n v="6846"/>
    <n v="2163"/>
    <x v="2"/>
    <x v="1"/>
  </r>
  <r>
    <n v="10484"/>
    <x v="313"/>
    <s v="Sneha"/>
    <x v="3"/>
    <x v="2"/>
    <x v="5"/>
    <x v="4"/>
    <n v="2"/>
    <n v="350"/>
    <n v="0"/>
    <n v="700"/>
    <n v="427"/>
    <n v="273"/>
    <x v="1"/>
    <x v="1"/>
  </r>
  <r>
    <n v="10485"/>
    <x v="314"/>
    <s v="Riya"/>
    <x v="3"/>
    <x v="0"/>
    <x v="1"/>
    <x v="3"/>
    <n v="5"/>
    <n v="670"/>
    <n v="5"/>
    <n v="3182.5"/>
    <n v="2386"/>
    <n v="796.5"/>
    <x v="3"/>
    <x v="1"/>
  </r>
  <r>
    <n v="10486"/>
    <x v="315"/>
    <s v="Sneha"/>
    <x v="2"/>
    <x v="2"/>
    <x v="6"/>
    <x v="1"/>
    <n v="14"/>
    <n v="270"/>
    <n v="20"/>
    <n v="3024"/>
    <n v="1874"/>
    <n v="1150"/>
    <x v="2"/>
    <x v="2"/>
  </r>
  <r>
    <n v="10487"/>
    <x v="42"/>
    <s v="Kiran"/>
    <x v="3"/>
    <x v="0"/>
    <x v="0"/>
    <x v="0"/>
    <n v="15"/>
    <n v="260"/>
    <n v="20"/>
    <n v="3120"/>
    <n v="2402"/>
    <n v="718"/>
    <x v="0"/>
    <x v="2"/>
  </r>
  <r>
    <n v="10488"/>
    <x v="140"/>
    <s v="Amit"/>
    <x v="3"/>
    <x v="0"/>
    <x v="10"/>
    <x v="6"/>
    <n v="13"/>
    <n v="1240"/>
    <n v="20"/>
    <n v="12896"/>
    <n v="10574"/>
    <n v="2322"/>
    <x v="0"/>
    <x v="3"/>
  </r>
  <r>
    <n v="10489"/>
    <x v="316"/>
    <s v="Neha"/>
    <x v="1"/>
    <x v="0"/>
    <x v="1"/>
    <x v="5"/>
    <n v="13"/>
    <n v="1430"/>
    <n v="20"/>
    <n v="14872"/>
    <n v="10856"/>
    <n v="4016"/>
    <x v="3"/>
    <x v="2"/>
  </r>
  <r>
    <n v="10490"/>
    <x v="272"/>
    <s v="Amit"/>
    <x v="3"/>
    <x v="0"/>
    <x v="10"/>
    <x v="1"/>
    <n v="5"/>
    <n v="670"/>
    <n v="0"/>
    <n v="3350"/>
    <n v="2780"/>
    <n v="570"/>
    <x v="2"/>
    <x v="3"/>
  </r>
  <r>
    <n v="10492"/>
    <x v="317"/>
    <s v="Neha"/>
    <x v="3"/>
    <x v="0"/>
    <x v="8"/>
    <x v="4"/>
    <n v="3"/>
    <n v="860"/>
    <n v="15"/>
    <n v="2193"/>
    <n v="1622"/>
    <n v="571"/>
    <x v="3"/>
    <x v="1"/>
  </r>
  <r>
    <n v="10493"/>
    <x v="216"/>
    <s v="Amit"/>
    <x v="2"/>
    <x v="2"/>
    <x v="9"/>
    <x v="5"/>
    <n v="10"/>
    <n v="1990"/>
    <n v="10"/>
    <n v="17910"/>
    <n v="10746"/>
    <n v="7164"/>
    <x v="3"/>
    <x v="1"/>
  </r>
  <r>
    <n v="10494"/>
    <x v="318"/>
    <s v="Anjali"/>
    <x v="0"/>
    <x v="0"/>
    <x v="2"/>
    <x v="0"/>
    <n v="14"/>
    <n v="1170"/>
    <n v="10"/>
    <n v="14742"/>
    <n v="9877"/>
    <n v="4865"/>
    <x v="2"/>
    <x v="0"/>
  </r>
  <r>
    <n v="10495"/>
    <x v="192"/>
    <s v="Anjali"/>
    <x v="2"/>
    <x v="2"/>
    <x v="9"/>
    <x v="0"/>
    <n v="11"/>
    <n v="610"/>
    <n v="5"/>
    <n v="6374.5"/>
    <n v="4844"/>
    <n v="1530.5"/>
    <x v="2"/>
    <x v="3"/>
  </r>
  <r>
    <n v="10496"/>
    <x v="312"/>
    <s v="Nikhil"/>
    <x v="2"/>
    <x v="2"/>
    <x v="7"/>
    <x v="5"/>
    <n v="2"/>
    <n v="590"/>
    <n v="20"/>
    <n v="944"/>
    <n v="538"/>
    <n v="406"/>
    <x v="3"/>
    <x v="2"/>
  </r>
  <r>
    <n v="10497"/>
    <x v="19"/>
    <s v="Amit"/>
    <x v="3"/>
    <x v="1"/>
    <x v="11"/>
    <x v="5"/>
    <n v="5"/>
    <n v="880"/>
    <n v="20"/>
    <n v="3520"/>
    <n v="2640"/>
    <n v="880"/>
    <x v="1"/>
    <x v="2"/>
  </r>
  <r>
    <n v="10498"/>
    <x v="138"/>
    <s v="Sneha"/>
    <x v="3"/>
    <x v="0"/>
    <x v="2"/>
    <x v="0"/>
    <n v="2"/>
    <n v="860"/>
    <n v="5"/>
    <n v="1634"/>
    <n v="964"/>
    <n v="670"/>
    <x v="1"/>
    <x v="2"/>
  </r>
  <r>
    <n v="10499"/>
    <x v="196"/>
    <s v="Mohit"/>
    <x v="2"/>
    <x v="1"/>
    <x v="4"/>
    <x v="4"/>
    <n v="2"/>
    <n v="1230"/>
    <n v="10"/>
    <n v="2214"/>
    <n v="1416"/>
    <n v="798"/>
    <x v="2"/>
    <x v="2"/>
  </r>
  <r>
    <n v="10500"/>
    <x v="319"/>
    <s v="Sara"/>
    <x v="2"/>
    <x v="0"/>
    <x v="0"/>
    <x v="2"/>
    <n v="1"/>
    <n v="1780"/>
    <n v="15"/>
    <n v="1513"/>
    <n v="1210"/>
    <n v="303"/>
    <x v="3"/>
    <x v="4"/>
  </r>
  <r>
    <n v="10502"/>
    <x v="80"/>
    <s v="Sara"/>
    <x v="1"/>
    <x v="1"/>
    <x v="4"/>
    <x v="6"/>
    <n v="3"/>
    <n v="1160"/>
    <n v="0"/>
    <n v="3480"/>
    <n v="2575"/>
    <n v="905"/>
    <x v="3"/>
    <x v="4"/>
  </r>
  <r>
    <n v="10503"/>
    <x v="320"/>
    <s v="Neha"/>
    <x v="3"/>
    <x v="2"/>
    <x v="6"/>
    <x v="1"/>
    <n v="3"/>
    <n v="930"/>
    <n v="15"/>
    <n v="2371.5"/>
    <n v="1328"/>
    <n v="1043.5"/>
    <x v="3"/>
    <x v="4"/>
  </r>
  <r>
    <n v="10504"/>
    <x v="321"/>
    <s v="Riya"/>
    <x v="0"/>
    <x v="1"/>
    <x v="11"/>
    <x v="1"/>
    <n v="7"/>
    <n v="1990"/>
    <n v="10"/>
    <n v="12537"/>
    <n v="7271"/>
    <n v="5266"/>
    <x v="1"/>
    <x v="4"/>
  </r>
  <r>
    <n v="10505"/>
    <x v="53"/>
    <s v="Sara"/>
    <x v="3"/>
    <x v="2"/>
    <x v="6"/>
    <x v="2"/>
    <n v="10"/>
    <n v="1830"/>
    <n v="10"/>
    <n v="16470"/>
    <n v="13340"/>
    <n v="3130"/>
    <x v="1"/>
    <x v="4"/>
  </r>
  <r>
    <n v="10506"/>
    <x v="30"/>
    <s v="Riya"/>
    <x v="3"/>
    <x v="0"/>
    <x v="2"/>
    <x v="4"/>
    <n v="1"/>
    <n v="1650"/>
    <n v="5"/>
    <n v="1567.5"/>
    <n v="956"/>
    <n v="611.5"/>
    <x v="1"/>
    <x v="0"/>
  </r>
  <r>
    <n v="10507"/>
    <x v="277"/>
    <s v="Mohit"/>
    <x v="2"/>
    <x v="2"/>
    <x v="9"/>
    <x v="5"/>
    <n v="10"/>
    <n v="1360"/>
    <n v="0"/>
    <n v="13600"/>
    <n v="7480"/>
    <n v="6120"/>
    <x v="1"/>
    <x v="3"/>
  </r>
  <r>
    <n v="10508"/>
    <x v="109"/>
    <s v="Kiran"/>
    <x v="3"/>
    <x v="2"/>
    <x v="7"/>
    <x v="5"/>
    <n v="2"/>
    <n v="960"/>
    <n v="5"/>
    <n v="1824"/>
    <n v="1203"/>
    <n v="621"/>
    <x v="2"/>
    <x v="2"/>
  </r>
  <r>
    <n v="10509"/>
    <x v="42"/>
    <s v="Vivek"/>
    <x v="3"/>
    <x v="1"/>
    <x v="3"/>
    <x v="5"/>
    <n v="3"/>
    <n v="1930"/>
    <n v="5"/>
    <n v="5500.5"/>
    <n v="4070"/>
    <n v="1430.5"/>
    <x v="1"/>
    <x v="1"/>
  </r>
  <r>
    <n v="10510"/>
    <x v="322"/>
    <s v="Amit"/>
    <x v="0"/>
    <x v="2"/>
    <x v="12"/>
    <x v="1"/>
    <n v="12"/>
    <n v="1730"/>
    <n v="5"/>
    <n v="19722"/>
    <n v="15383"/>
    <n v="4339"/>
    <x v="3"/>
    <x v="4"/>
  </r>
  <r>
    <n v="10512"/>
    <x v="323"/>
    <s v="Kiran"/>
    <x v="3"/>
    <x v="2"/>
    <x v="5"/>
    <x v="1"/>
    <n v="11"/>
    <n v="1560"/>
    <n v="15"/>
    <n v="14586"/>
    <n v="11377"/>
    <n v="3209"/>
    <x v="1"/>
    <x v="4"/>
  </r>
  <r>
    <n v="10513"/>
    <x v="210"/>
    <s v="Sneha"/>
    <x v="0"/>
    <x v="2"/>
    <x v="9"/>
    <x v="1"/>
    <n v="10"/>
    <n v="640"/>
    <n v="15"/>
    <n v="5440"/>
    <n v="3808"/>
    <n v="1632"/>
    <x v="3"/>
    <x v="0"/>
  </r>
  <r>
    <n v="10514"/>
    <x v="324"/>
    <s v="Sara"/>
    <x v="3"/>
    <x v="0"/>
    <x v="10"/>
    <x v="4"/>
    <n v="14"/>
    <n v="1730"/>
    <n v="10"/>
    <n v="21798"/>
    <n v="15912"/>
    <n v="5886"/>
    <x v="2"/>
    <x v="1"/>
  </r>
  <r>
    <n v="10515"/>
    <x v="306"/>
    <s v="Sara"/>
    <x v="3"/>
    <x v="2"/>
    <x v="5"/>
    <x v="0"/>
    <n v="4"/>
    <n v="1820"/>
    <n v="5"/>
    <n v="6916"/>
    <n v="4080"/>
    <n v="2836"/>
    <x v="2"/>
    <x v="0"/>
  </r>
  <r>
    <n v="10516"/>
    <x v="11"/>
    <s v="Amit"/>
    <x v="3"/>
    <x v="2"/>
    <x v="12"/>
    <x v="5"/>
    <n v="9"/>
    <n v="1490"/>
    <n v="5"/>
    <n v="12739.5"/>
    <n v="8790"/>
    <n v="3949.5"/>
    <x v="3"/>
    <x v="1"/>
  </r>
  <r>
    <n v="10517"/>
    <x v="122"/>
    <s v="Vivek"/>
    <x v="1"/>
    <x v="0"/>
    <x v="1"/>
    <x v="2"/>
    <n v="15"/>
    <n v="1730"/>
    <n v="15"/>
    <n v="22057.5"/>
    <n v="13455"/>
    <n v="8602.5"/>
    <x v="3"/>
    <x v="1"/>
  </r>
  <r>
    <n v="10518"/>
    <x v="275"/>
    <s v="Sneha"/>
    <x v="1"/>
    <x v="0"/>
    <x v="8"/>
    <x v="3"/>
    <n v="14"/>
    <n v="1140"/>
    <n v="15"/>
    <n v="13566"/>
    <n v="7732"/>
    <n v="5834"/>
    <x v="0"/>
    <x v="2"/>
  </r>
  <r>
    <n v="10519"/>
    <x v="313"/>
    <s v="Amit"/>
    <x v="1"/>
    <x v="1"/>
    <x v="4"/>
    <x v="3"/>
    <n v="13"/>
    <n v="1110"/>
    <n v="10"/>
    <n v="12987"/>
    <n v="7402"/>
    <n v="5585"/>
    <x v="0"/>
    <x v="2"/>
  </r>
  <r>
    <n v="10520"/>
    <x v="95"/>
    <s v="Amit"/>
    <x v="3"/>
    <x v="2"/>
    <x v="9"/>
    <x v="3"/>
    <n v="13"/>
    <n v="1710"/>
    <n v="15"/>
    <n v="18895.5"/>
    <n v="15116"/>
    <n v="3779.5"/>
    <x v="2"/>
    <x v="4"/>
  </r>
  <r>
    <n v="10521"/>
    <x v="325"/>
    <s v="Riya"/>
    <x v="0"/>
    <x v="0"/>
    <x v="8"/>
    <x v="2"/>
    <n v="15"/>
    <n v="1180"/>
    <n v="5"/>
    <n v="16815"/>
    <n v="12443"/>
    <n v="4372"/>
    <x v="1"/>
    <x v="1"/>
  </r>
  <r>
    <n v="10522"/>
    <x v="326"/>
    <s v="Anjali"/>
    <x v="0"/>
    <x v="0"/>
    <x v="8"/>
    <x v="5"/>
    <n v="15"/>
    <n v="590"/>
    <n v="10"/>
    <n v="7965"/>
    <n v="4699"/>
    <n v="3266"/>
    <x v="0"/>
    <x v="4"/>
  </r>
  <r>
    <n v="10524"/>
    <x v="243"/>
    <s v="Nikhil"/>
    <x v="1"/>
    <x v="0"/>
    <x v="10"/>
    <x v="2"/>
    <n v="4"/>
    <n v="750"/>
    <n v="0"/>
    <n v="3000"/>
    <n v="2130"/>
    <n v="870"/>
    <x v="2"/>
    <x v="1"/>
  </r>
  <r>
    <n v="10525"/>
    <x v="327"/>
    <s v="Vivek"/>
    <x v="3"/>
    <x v="0"/>
    <x v="8"/>
    <x v="4"/>
    <n v="1"/>
    <n v="1730"/>
    <n v="5"/>
    <n v="1643.5"/>
    <n v="1347"/>
    <n v="296.5"/>
    <x v="2"/>
    <x v="0"/>
  </r>
  <r>
    <n v="10526"/>
    <x v="84"/>
    <s v="Kiran"/>
    <x v="2"/>
    <x v="2"/>
    <x v="7"/>
    <x v="6"/>
    <n v="14"/>
    <n v="1440"/>
    <n v="15"/>
    <n v="17136"/>
    <n v="10452"/>
    <n v="6684"/>
    <x v="2"/>
    <x v="4"/>
  </r>
  <r>
    <n v="10527"/>
    <x v="268"/>
    <s v="Vivek"/>
    <x v="2"/>
    <x v="2"/>
    <x v="5"/>
    <x v="1"/>
    <n v="7"/>
    <n v="1370"/>
    <n v="5"/>
    <n v="9110.5"/>
    <n v="6559"/>
    <n v="2551.5"/>
    <x v="0"/>
    <x v="2"/>
  </r>
  <r>
    <n v="10528"/>
    <x v="327"/>
    <s v="Vivek"/>
    <x v="0"/>
    <x v="1"/>
    <x v="13"/>
    <x v="4"/>
    <n v="1"/>
    <n v="230"/>
    <n v="15"/>
    <n v="195.5"/>
    <n v="156"/>
    <n v="39.5"/>
    <x v="2"/>
    <x v="1"/>
  </r>
  <r>
    <n v="10529"/>
    <x v="135"/>
    <s v="Nikhil"/>
    <x v="2"/>
    <x v="2"/>
    <x v="5"/>
    <x v="6"/>
    <n v="5"/>
    <n v="1860"/>
    <n v="20"/>
    <n v="7440"/>
    <n v="4538"/>
    <n v="2902"/>
    <x v="2"/>
    <x v="3"/>
  </r>
  <r>
    <n v="10530"/>
    <x v="328"/>
    <s v="Anjali"/>
    <x v="3"/>
    <x v="2"/>
    <x v="7"/>
    <x v="3"/>
    <n v="15"/>
    <n v="1580"/>
    <n v="10"/>
    <n v="21330"/>
    <n v="13864"/>
    <n v="7466"/>
    <x v="3"/>
    <x v="2"/>
  </r>
  <r>
    <n v="10531"/>
    <x v="329"/>
    <s v="Anjali"/>
    <x v="0"/>
    <x v="1"/>
    <x v="11"/>
    <x v="4"/>
    <n v="2"/>
    <n v="1820"/>
    <n v="15"/>
    <n v="3094"/>
    <n v="2537"/>
    <n v="557"/>
    <x v="0"/>
    <x v="3"/>
  </r>
  <r>
    <n v="10532"/>
    <x v="330"/>
    <s v="Sara"/>
    <x v="2"/>
    <x v="0"/>
    <x v="1"/>
    <x v="6"/>
    <n v="14"/>
    <n v="740"/>
    <n v="10"/>
    <n v="9324"/>
    <n v="6899"/>
    <n v="2425"/>
    <x v="0"/>
    <x v="1"/>
  </r>
  <r>
    <n v="10533"/>
    <x v="201"/>
    <s v="Amit"/>
    <x v="2"/>
    <x v="1"/>
    <x v="13"/>
    <x v="2"/>
    <n v="1"/>
    <n v="840"/>
    <n v="10"/>
    <n v="756"/>
    <n v="521"/>
    <n v="235"/>
    <x v="0"/>
    <x v="3"/>
  </r>
  <r>
    <n v="10534"/>
    <x v="224"/>
    <s v="Vivek"/>
    <x v="3"/>
    <x v="2"/>
    <x v="9"/>
    <x v="2"/>
    <n v="8"/>
    <n v="1660"/>
    <n v="15"/>
    <n v="11288"/>
    <n v="8691"/>
    <n v="2597"/>
    <x v="1"/>
    <x v="1"/>
  </r>
  <r>
    <n v="10535"/>
    <x v="298"/>
    <s v="Sara"/>
    <x v="3"/>
    <x v="1"/>
    <x v="11"/>
    <x v="4"/>
    <n v="13"/>
    <n v="990"/>
    <n v="0"/>
    <n v="12870"/>
    <n v="9909"/>
    <n v="2961"/>
    <x v="3"/>
    <x v="1"/>
  </r>
  <r>
    <n v="10536"/>
    <x v="322"/>
    <s v="Amit"/>
    <x v="1"/>
    <x v="2"/>
    <x v="12"/>
    <x v="2"/>
    <n v="1"/>
    <n v="790"/>
    <n v="0"/>
    <n v="790"/>
    <n v="505"/>
    <n v="285"/>
    <x v="3"/>
    <x v="0"/>
  </r>
  <r>
    <n v="10537"/>
    <x v="331"/>
    <s v="Nikhil"/>
    <x v="3"/>
    <x v="2"/>
    <x v="9"/>
    <x v="5"/>
    <n v="11"/>
    <n v="1430"/>
    <n v="0"/>
    <n v="15730"/>
    <n v="8808"/>
    <n v="6922"/>
    <x v="3"/>
    <x v="2"/>
  </r>
  <r>
    <n v="10538"/>
    <x v="266"/>
    <s v="Sneha"/>
    <x v="1"/>
    <x v="1"/>
    <x v="13"/>
    <x v="1"/>
    <n v="5"/>
    <n v="750"/>
    <n v="20"/>
    <n v="3000"/>
    <n v="1740"/>
    <n v="1260"/>
    <x v="2"/>
    <x v="4"/>
  </r>
  <r>
    <n v="10539"/>
    <x v="332"/>
    <s v="Neha"/>
    <x v="2"/>
    <x v="2"/>
    <x v="6"/>
    <x v="6"/>
    <n v="7"/>
    <n v="1810"/>
    <n v="15"/>
    <n v="10769.5"/>
    <n v="6784"/>
    <n v="3985.5"/>
    <x v="0"/>
    <x v="0"/>
  </r>
  <r>
    <n v="10540"/>
    <x v="48"/>
    <s v="Neha"/>
    <x v="2"/>
    <x v="1"/>
    <x v="4"/>
    <x v="1"/>
    <n v="9"/>
    <n v="1990"/>
    <n v="5"/>
    <n v="17014.5"/>
    <n v="12250"/>
    <n v="4764.5"/>
    <x v="3"/>
    <x v="0"/>
  </r>
  <r>
    <n v="10541"/>
    <x v="331"/>
    <s v="Anjali"/>
    <x v="2"/>
    <x v="0"/>
    <x v="1"/>
    <x v="5"/>
    <n v="9"/>
    <n v="1060"/>
    <n v="5"/>
    <n v="9063"/>
    <n v="6253"/>
    <n v="2810"/>
    <x v="1"/>
    <x v="2"/>
  </r>
  <r>
    <n v="10542"/>
    <x v="271"/>
    <s v="Riya"/>
    <x v="3"/>
    <x v="2"/>
    <x v="7"/>
    <x v="3"/>
    <n v="15"/>
    <n v="410"/>
    <n v="15"/>
    <n v="5227.5"/>
    <n v="3868"/>
    <n v="1359.5"/>
    <x v="1"/>
    <x v="1"/>
  </r>
  <r>
    <n v="10544"/>
    <x v="104"/>
    <s v="Amit"/>
    <x v="3"/>
    <x v="1"/>
    <x v="3"/>
    <x v="2"/>
    <n v="15"/>
    <n v="920"/>
    <n v="15"/>
    <n v="11730"/>
    <n v="6920"/>
    <n v="4810"/>
    <x v="0"/>
    <x v="0"/>
  </r>
  <r>
    <n v="10545"/>
    <x v="241"/>
    <s v="Neha"/>
    <x v="1"/>
    <x v="0"/>
    <x v="1"/>
    <x v="2"/>
    <n v="5"/>
    <n v="680"/>
    <n v="15"/>
    <n v="2890"/>
    <n v="1705"/>
    <n v="1185"/>
    <x v="1"/>
    <x v="4"/>
  </r>
  <r>
    <n v="10546"/>
    <x v="333"/>
    <s v="Kiran"/>
    <x v="1"/>
    <x v="0"/>
    <x v="0"/>
    <x v="6"/>
    <n v="3"/>
    <n v="1460"/>
    <n v="0"/>
    <n v="4380"/>
    <n v="3197"/>
    <n v="1183"/>
    <x v="2"/>
    <x v="4"/>
  </r>
  <r>
    <n v="10547"/>
    <x v="186"/>
    <s v="Amit"/>
    <x v="3"/>
    <x v="2"/>
    <x v="12"/>
    <x v="1"/>
    <n v="8"/>
    <n v="290"/>
    <n v="0"/>
    <n v="2320"/>
    <n v="1600"/>
    <n v="720"/>
    <x v="1"/>
    <x v="1"/>
  </r>
  <r>
    <n v="10548"/>
    <x v="334"/>
    <s v="Sneha"/>
    <x v="0"/>
    <x v="0"/>
    <x v="2"/>
    <x v="5"/>
    <n v="8"/>
    <n v="1930"/>
    <n v="5"/>
    <n v="14668"/>
    <n v="9974"/>
    <n v="4694"/>
    <x v="1"/>
    <x v="4"/>
  </r>
  <r>
    <n v="10549"/>
    <x v="286"/>
    <s v="Riya"/>
    <x v="3"/>
    <x v="1"/>
    <x v="13"/>
    <x v="1"/>
    <n v="6"/>
    <n v="590"/>
    <n v="20"/>
    <n v="2832"/>
    <n v="1784"/>
    <n v="1048"/>
    <x v="0"/>
    <x v="2"/>
  </r>
  <r>
    <n v="10550"/>
    <x v="142"/>
    <s v="Kiran"/>
    <x v="3"/>
    <x v="1"/>
    <x v="11"/>
    <x v="4"/>
    <n v="10"/>
    <n v="380"/>
    <n v="20"/>
    <n v="3040"/>
    <n v="2553"/>
    <n v="487"/>
    <x v="0"/>
    <x v="3"/>
  </r>
  <r>
    <n v="10551"/>
    <x v="335"/>
    <s v="Amit"/>
    <x v="0"/>
    <x v="1"/>
    <x v="4"/>
    <x v="0"/>
    <n v="13"/>
    <n v="1560"/>
    <n v="20"/>
    <n v="16224"/>
    <n v="10870"/>
    <n v="5354"/>
    <x v="3"/>
    <x v="4"/>
  </r>
  <r>
    <n v="10552"/>
    <x v="336"/>
    <s v="Mohit"/>
    <x v="1"/>
    <x v="2"/>
    <x v="5"/>
    <x v="6"/>
    <n v="8"/>
    <n v="900"/>
    <n v="5"/>
    <n v="6840"/>
    <n v="5540"/>
    <n v="1300"/>
    <x v="3"/>
    <x v="0"/>
  </r>
  <r>
    <n v="10553"/>
    <x v="24"/>
    <s v="Vivek"/>
    <x v="0"/>
    <x v="2"/>
    <x v="6"/>
    <x v="3"/>
    <n v="5"/>
    <n v="1790"/>
    <n v="20"/>
    <n v="7160"/>
    <n v="4868"/>
    <n v="2292"/>
    <x v="2"/>
    <x v="1"/>
  </r>
  <r>
    <n v="10554"/>
    <x v="337"/>
    <s v="Vivek"/>
    <x v="0"/>
    <x v="0"/>
    <x v="2"/>
    <x v="4"/>
    <n v="4"/>
    <n v="1470"/>
    <n v="10"/>
    <n v="5292"/>
    <n v="3598"/>
    <n v="1694"/>
    <x v="3"/>
    <x v="2"/>
  </r>
  <r>
    <n v="10555"/>
    <x v="37"/>
    <s v="Riya"/>
    <x v="1"/>
    <x v="2"/>
    <x v="5"/>
    <x v="4"/>
    <n v="4"/>
    <n v="1050"/>
    <n v="20"/>
    <n v="3360"/>
    <n v="2856"/>
    <n v="504"/>
    <x v="2"/>
    <x v="2"/>
  </r>
  <r>
    <n v="10556"/>
    <x v="338"/>
    <s v="Anjali"/>
    <x v="3"/>
    <x v="0"/>
    <x v="10"/>
    <x v="0"/>
    <n v="6"/>
    <n v="480"/>
    <n v="10"/>
    <n v="2592"/>
    <n v="2047"/>
    <n v="545"/>
    <x v="1"/>
    <x v="1"/>
  </r>
  <r>
    <n v="10558"/>
    <x v="339"/>
    <s v="Amit"/>
    <x v="2"/>
    <x v="1"/>
    <x v="13"/>
    <x v="4"/>
    <n v="11"/>
    <n v="540"/>
    <n v="15"/>
    <n v="5049"/>
    <n v="2928"/>
    <n v="2121"/>
    <x v="2"/>
    <x v="0"/>
  </r>
  <r>
    <n v="10559"/>
    <x v="46"/>
    <s v="Sneha"/>
    <x v="3"/>
    <x v="0"/>
    <x v="2"/>
    <x v="2"/>
    <n v="11"/>
    <n v="720"/>
    <n v="10"/>
    <n v="7128"/>
    <n v="5060"/>
    <n v="2068"/>
    <x v="3"/>
    <x v="1"/>
  </r>
  <r>
    <n v="10560"/>
    <x v="302"/>
    <s v="Kiran"/>
    <x v="2"/>
    <x v="0"/>
    <x v="1"/>
    <x v="4"/>
    <n v="3"/>
    <n v="1480"/>
    <n v="5"/>
    <n v="4218"/>
    <n v="2868"/>
    <n v="1350"/>
    <x v="2"/>
    <x v="2"/>
  </r>
  <r>
    <n v="10561"/>
    <x v="36"/>
    <s v="Amit"/>
    <x v="2"/>
    <x v="1"/>
    <x v="13"/>
    <x v="5"/>
    <n v="3"/>
    <n v="960"/>
    <n v="10"/>
    <n v="2592"/>
    <n v="1451"/>
    <n v="1141"/>
    <x v="1"/>
    <x v="1"/>
  </r>
  <r>
    <n v="10562"/>
    <x v="24"/>
    <s v="Riya"/>
    <x v="2"/>
    <x v="2"/>
    <x v="9"/>
    <x v="4"/>
    <n v="12"/>
    <n v="1070"/>
    <n v="15"/>
    <n v="10914"/>
    <n v="9276"/>
    <n v="1638"/>
    <x v="3"/>
    <x v="1"/>
  </r>
  <r>
    <n v="10563"/>
    <x v="340"/>
    <s v="Kiran"/>
    <x v="0"/>
    <x v="1"/>
    <x v="4"/>
    <x v="1"/>
    <n v="7"/>
    <n v="1000"/>
    <n v="0"/>
    <n v="7000"/>
    <n v="4410"/>
    <n v="2590"/>
    <x v="1"/>
    <x v="0"/>
  </r>
  <r>
    <n v="10564"/>
    <x v="210"/>
    <s v="Nikhil"/>
    <x v="0"/>
    <x v="2"/>
    <x v="6"/>
    <x v="1"/>
    <n v="3"/>
    <n v="1880"/>
    <n v="5"/>
    <n v="5358"/>
    <n v="4554"/>
    <n v="804"/>
    <x v="2"/>
    <x v="3"/>
  </r>
  <r>
    <n v="10565"/>
    <x v="341"/>
    <s v="Sneha"/>
    <x v="1"/>
    <x v="0"/>
    <x v="8"/>
    <x v="5"/>
    <n v="15"/>
    <n v="1380"/>
    <n v="0"/>
    <n v="20700"/>
    <n v="16146"/>
    <n v="4554"/>
    <x v="1"/>
    <x v="3"/>
  </r>
  <r>
    <n v="10566"/>
    <x v="168"/>
    <s v="Sneha"/>
    <x v="0"/>
    <x v="2"/>
    <x v="5"/>
    <x v="1"/>
    <n v="10"/>
    <n v="1180"/>
    <n v="0"/>
    <n v="11800"/>
    <n v="9794"/>
    <n v="2006"/>
    <x v="2"/>
    <x v="2"/>
  </r>
  <r>
    <n v="10567"/>
    <x v="23"/>
    <s v="Kiran"/>
    <x v="3"/>
    <x v="2"/>
    <x v="6"/>
    <x v="5"/>
    <n v="6"/>
    <n v="1040"/>
    <n v="20"/>
    <n v="4992"/>
    <n v="3594"/>
    <n v="1398"/>
    <x v="0"/>
    <x v="1"/>
  </r>
  <r>
    <n v="10568"/>
    <x v="342"/>
    <s v="Neha"/>
    <x v="2"/>
    <x v="2"/>
    <x v="12"/>
    <x v="6"/>
    <n v="6"/>
    <n v="1160"/>
    <n v="5"/>
    <n v="6612"/>
    <n v="4959"/>
    <n v="1653"/>
    <x v="1"/>
    <x v="2"/>
  </r>
  <r>
    <n v="10569"/>
    <x v="343"/>
    <s v="Neha"/>
    <x v="3"/>
    <x v="2"/>
    <x v="9"/>
    <x v="2"/>
    <n v="7"/>
    <n v="1710"/>
    <n v="10"/>
    <n v="10773"/>
    <n v="8295"/>
    <n v="2478"/>
    <x v="2"/>
    <x v="3"/>
  </r>
  <r>
    <n v="10570"/>
    <x v="73"/>
    <s v="Anjali"/>
    <x v="3"/>
    <x v="2"/>
    <x v="9"/>
    <x v="0"/>
    <n v="4"/>
    <n v="1860"/>
    <n v="5"/>
    <n v="7068"/>
    <n v="6007"/>
    <n v="1061"/>
    <x v="0"/>
    <x v="3"/>
  </r>
  <r>
    <n v="10571"/>
    <x v="344"/>
    <s v="Neha"/>
    <x v="3"/>
    <x v="0"/>
    <x v="0"/>
    <x v="0"/>
    <n v="6"/>
    <n v="500"/>
    <n v="10"/>
    <n v="2700"/>
    <n v="2133"/>
    <n v="567"/>
    <x v="1"/>
    <x v="1"/>
  </r>
  <r>
    <n v="10572"/>
    <x v="175"/>
    <s v="Riya"/>
    <x v="1"/>
    <x v="1"/>
    <x v="3"/>
    <x v="5"/>
    <n v="6"/>
    <n v="1680"/>
    <n v="5"/>
    <n v="9576"/>
    <n v="6032"/>
    <n v="3544"/>
    <x v="0"/>
    <x v="2"/>
  </r>
  <r>
    <n v="10573"/>
    <x v="329"/>
    <s v="Sara"/>
    <x v="2"/>
    <x v="0"/>
    <x v="1"/>
    <x v="5"/>
    <n v="14"/>
    <n v="1250"/>
    <n v="15"/>
    <n v="14875"/>
    <n v="8330"/>
    <n v="6545"/>
    <x v="1"/>
    <x v="4"/>
  </r>
  <r>
    <n v="10574"/>
    <x v="345"/>
    <s v="Nikhil"/>
    <x v="2"/>
    <x v="1"/>
    <x v="3"/>
    <x v="1"/>
    <n v="9"/>
    <n v="1000"/>
    <n v="10"/>
    <n v="8100"/>
    <n v="6642"/>
    <n v="1458"/>
    <x v="3"/>
    <x v="2"/>
  </r>
  <r>
    <n v="10576"/>
    <x v="319"/>
    <s v="Kiran"/>
    <x v="3"/>
    <x v="1"/>
    <x v="4"/>
    <x v="3"/>
    <n v="3"/>
    <n v="1760"/>
    <n v="5"/>
    <n v="5016"/>
    <n v="3762"/>
    <n v="1254"/>
    <x v="0"/>
    <x v="1"/>
  </r>
  <r>
    <n v="10577"/>
    <x v="346"/>
    <s v="Sneha"/>
    <x v="1"/>
    <x v="0"/>
    <x v="2"/>
    <x v="2"/>
    <n v="3"/>
    <n v="1210"/>
    <n v="15"/>
    <n v="3085.5"/>
    <n v="2283"/>
    <n v="802.5"/>
    <x v="0"/>
    <x v="0"/>
  </r>
  <r>
    <n v="10578"/>
    <x v="347"/>
    <s v="Kiran"/>
    <x v="3"/>
    <x v="0"/>
    <x v="2"/>
    <x v="4"/>
    <n v="10"/>
    <n v="900"/>
    <n v="15"/>
    <n v="7650"/>
    <n v="5202"/>
    <n v="2448"/>
    <x v="1"/>
    <x v="2"/>
  </r>
  <r>
    <n v="10579"/>
    <x v="348"/>
    <s v="Vivek"/>
    <x v="1"/>
    <x v="2"/>
    <x v="12"/>
    <x v="0"/>
    <n v="13"/>
    <n v="350"/>
    <n v="20"/>
    <n v="3640"/>
    <n v="2184"/>
    <n v="1456"/>
    <x v="0"/>
    <x v="0"/>
  </r>
  <r>
    <n v="10580"/>
    <x v="349"/>
    <s v="Mohit"/>
    <x v="1"/>
    <x v="2"/>
    <x v="9"/>
    <x v="1"/>
    <n v="9"/>
    <n v="560"/>
    <n v="20"/>
    <n v="4032"/>
    <n v="2298"/>
    <n v="1734"/>
    <x v="3"/>
    <x v="3"/>
  </r>
  <r>
    <n v="10581"/>
    <x v="350"/>
    <s v="Amit"/>
    <x v="0"/>
    <x v="0"/>
    <x v="2"/>
    <x v="0"/>
    <n v="2"/>
    <n v="1810"/>
    <n v="0"/>
    <n v="3620"/>
    <n v="2606"/>
    <n v="1014"/>
    <x v="2"/>
    <x v="4"/>
  </r>
  <r>
    <n v="10582"/>
    <x v="351"/>
    <s v="Sneha"/>
    <x v="0"/>
    <x v="0"/>
    <x v="8"/>
    <x v="0"/>
    <n v="15"/>
    <n v="510"/>
    <n v="5"/>
    <n v="7267.5"/>
    <n v="4215"/>
    <n v="3052.5"/>
    <x v="0"/>
    <x v="3"/>
  </r>
  <r>
    <n v="10583"/>
    <x v="226"/>
    <s v="Vivek"/>
    <x v="2"/>
    <x v="0"/>
    <x v="2"/>
    <x v="1"/>
    <n v="6"/>
    <n v="1290"/>
    <n v="0"/>
    <n v="7740"/>
    <n v="6037"/>
    <n v="1703"/>
    <x v="3"/>
    <x v="1"/>
  </r>
  <r>
    <n v="10584"/>
    <x v="352"/>
    <s v="Sara"/>
    <x v="1"/>
    <x v="2"/>
    <x v="7"/>
    <x v="2"/>
    <n v="12"/>
    <n v="210"/>
    <n v="15"/>
    <n v="2142"/>
    <n v="1692"/>
    <n v="450"/>
    <x v="2"/>
    <x v="4"/>
  </r>
  <r>
    <n v="10585"/>
    <x v="227"/>
    <s v="Kiran"/>
    <x v="0"/>
    <x v="1"/>
    <x v="4"/>
    <x v="2"/>
    <n v="2"/>
    <n v="1330"/>
    <n v="5"/>
    <n v="2527"/>
    <n v="1743"/>
    <n v="784"/>
    <x v="1"/>
    <x v="4"/>
  </r>
  <r>
    <n v="10586"/>
    <x v="304"/>
    <s v="Sara"/>
    <x v="3"/>
    <x v="0"/>
    <x v="2"/>
    <x v="2"/>
    <n v="3"/>
    <n v="1900"/>
    <n v="0"/>
    <n v="5700"/>
    <n v="3135"/>
    <n v="2565"/>
    <x v="0"/>
    <x v="1"/>
  </r>
  <r>
    <n v="10587"/>
    <x v="353"/>
    <s v="Mohit"/>
    <x v="1"/>
    <x v="2"/>
    <x v="5"/>
    <x v="6"/>
    <n v="15"/>
    <n v="1200"/>
    <n v="0"/>
    <n v="18000"/>
    <n v="14220"/>
    <n v="3780"/>
    <x v="3"/>
    <x v="3"/>
  </r>
  <r>
    <n v="10588"/>
    <x v="334"/>
    <s v="Vivek"/>
    <x v="2"/>
    <x v="0"/>
    <x v="10"/>
    <x v="2"/>
    <n v="6"/>
    <n v="850"/>
    <n v="15"/>
    <n v="4335"/>
    <n v="3424"/>
    <n v="911"/>
    <x v="3"/>
    <x v="3"/>
  </r>
  <r>
    <n v="10589"/>
    <x v="303"/>
    <s v="Anjali"/>
    <x v="0"/>
    <x v="0"/>
    <x v="0"/>
    <x v="5"/>
    <n v="11"/>
    <n v="710"/>
    <n v="15"/>
    <n v="6638.5"/>
    <n v="4846"/>
    <n v="1792.5"/>
    <x v="3"/>
    <x v="4"/>
  </r>
  <r>
    <n v="10590"/>
    <x v="317"/>
    <s v="Kiran"/>
    <x v="1"/>
    <x v="1"/>
    <x v="11"/>
    <x v="4"/>
    <n v="8"/>
    <n v="1640"/>
    <n v="10"/>
    <n v="11808"/>
    <n v="8383"/>
    <n v="3425"/>
    <x v="1"/>
    <x v="3"/>
  </r>
  <r>
    <n v="10591"/>
    <x v="354"/>
    <s v="Nikhil"/>
    <x v="3"/>
    <x v="0"/>
    <x v="10"/>
    <x v="3"/>
    <n v="9"/>
    <n v="610"/>
    <n v="20"/>
    <n v="4392"/>
    <n v="3337"/>
    <n v="1055"/>
    <x v="1"/>
    <x v="0"/>
  </r>
  <r>
    <n v="10592"/>
    <x v="5"/>
    <s v="Neha"/>
    <x v="2"/>
    <x v="2"/>
    <x v="12"/>
    <x v="2"/>
    <n v="1"/>
    <n v="450"/>
    <n v="20"/>
    <n v="360"/>
    <n v="223"/>
    <n v="137"/>
    <x v="0"/>
    <x v="2"/>
  </r>
  <r>
    <n v="10593"/>
    <x v="208"/>
    <s v="Sneha"/>
    <x v="0"/>
    <x v="2"/>
    <x v="6"/>
    <x v="2"/>
    <n v="15"/>
    <n v="740"/>
    <n v="20"/>
    <n v="8880"/>
    <n v="6571"/>
    <n v="2309"/>
    <x v="1"/>
    <x v="3"/>
  </r>
  <r>
    <n v="10594"/>
    <x v="355"/>
    <s v="Anjali"/>
    <x v="0"/>
    <x v="2"/>
    <x v="5"/>
    <x v="3"/>
    <n v="15"/>
    <n v="920"/>
    <n v="0"/>
    <n v="13800"/>
    <n v="7590"/>
    <n v="6210"/>
    <x v="2"/>
    <x v="0"/>
  </r>
  <r>
    <n v="10595"/>
    <x v="222"/>
    <s v="Riya"/>
    <x v="1"/>
    <x v="2"/>
    <x v="6"/>
    <x v="5"/>
    <n v="3"/>
    <n v="540"/>
    <n v="10"/>
    <n v="1458"/>
    <n v="845"/>
    <n v="613"/>
    <x v="1"/>
    <x v="4"/>
  </r>
  <r>
    <n v="10597"/>
    <x v="356"/>
    <s v="Mohit"/>
    <x v="1"/>
    <x v="2"/>
    <x v="7"/>
    <x v="1"/>
    <n v="5"/>
    <n v="360"/>
    <n v="0"/>
    <n v="1800"/>
    <n v="1062"/>
    <n v="738"/>
    <x v="2"/>
    <x v="2"/>
  </r>
  <r>
    <n v="10598"/>
    <x v="262"/>
    <s v="Anjali"/>
    <x v="1"/>
    <x v="1"/>
    <x v="13"/>
    <x v="3"/>
    <n v="14"/>
    <n v="210"/>
    <n v="0"/>
    <n v="2940"/>
    <n v="2440"/>
    <n v="500"/>
    <x v="0"/>
    <x v="2"/>
  </r>
  <r>
    <n v="10599"/>
    <x v="331"/>
    <s v="Mohit"/>
    <x v="3"/>
    <x v="0"/>
    <x v="2"/>
    <x v="0"/>
    <n v="1"/>
    <n v="1570"/>
    <n v="15"/>
    <n v="1334.5"/>
    <n v="1067"/>
    <n v="267.5"/>
    <x v="0"/>
    <x v="1"/>
  </r>
  <r>
    <n v="10600"/>
    <x v="357"/>
    <s v="Riya"/>
    <x v="3"/>
    <x v="1"/>
    <x v="13"/>
    <x v="3"/>
    <n v="3"/>
    <n v="1180"/>
    <n v="5"/>
    <n v="3363"/>
    <n v="2387"/>
    <n v="976"/>
    <x v="0"/>
    <x v="4"/>
  </r>
  <r>
    <n v="10601"/>
    <x v="289"/>
    <s v="Vivek"/>
    <x v="1"/>
    <x v="2"/>
    <x v="5"/>
    <x v="2"/>
    <n v="1"/>
    <n v="1580"/>
    <n v="0"/>
    <n v="1580"/>
    <n v="1279"/>
    <n v="301"/>
    <x v="1"/>
    <x v="1"/>
  </r>
  <r>
    <n v="10602"/>
    <x v="358"/>
    <s v="Neha"/>
    <x v="2"/>
    <x v="1"/>
    <x v="3"/>
    <x v="6"/>
    <n v="10"/>
    <n v="1390"/>
    <n v="10"/>
    <n v="12510"/>
    <n v="9257"/>
    <n v="3253"/>
    <x v="2"/>
    <x v="2"/>
  </r>
  <r>
    <n v="10603"/>
    <x v="99"/>
    <s v="Sneha"/>
    <x v="0"/>
    <x v="2"/>
    <x v="12"/>
    <x v="6"/>
    <n v="1"/>
    <n v="590"/>
    <n v="0"/>
    <n v="590"/>
    <n v="401"/>
    <n v="189"/>
    <x v="3"/>
    <x v="4"/>
  </r>
  <r>
    <n v="10604"/>
    <x v="359"/>
    <s v="Kiran"/>
    <x v="3"/>
    <x v="1"/>
    <x v="4"/>
    <x v="6"/>
    <n v="14"/>
    <n v="700"/>
    <n v="20"/>
    <n v="7840"/>
    <n v="5801"/>
    <n v="2039"/>
    <x v="3"/>
    <x v="0"/>
  </r>
  <r>
    <n v="10605"/>
    <x v="63"/>
    <s v="Kiran"/>
    <x v="0"/>
    <x v="0"/>
    <x v="2"/>
    <x v="2"/>
    <n v="8"/>
    <n v="1510"/>
    <n v="15"/>
    <n v="10268"/>
    <n v="6982"/>
    <n v="3286"/>
    <x v="2"/>
    <x v="0"/>
  </r>
  <r>
    <n v="10606"/>
    <x v="160"/>
    <s v="Riya"/>
    <x v="1"/>
    <x v="2"/>
    <x v="12"/>
    <x v="1"/>
    <n v="13"/>
    <n v="570"/>
    <n v="10"/>
    <n v="6669"/>
    <n v="4668"/>
    <n v="2001"/>
    <x v="0"/>
    <x v="1"/>
  </r>
  <r>
    <n v="10607"/>
    <x v="201"/>
    <s v="Amit"/>
    <x v="0"/>
    <x v="2"/>
    <x v="6"/>
    <x v="4"/>
    <n v="6"/>
    <n v="1860"/>
    <n v="5"/>
    <n v="10602"/>
    <n v="8269"/>
    <n v="2333"/>
    <x v="2"/>
    <x v="0"/>
  </r>
  <r>
    <n v="10608"/>
    <x v="171"/>
    <s v="Kiran"/>
    <x v="3"/>
    <x v="0"/>
    <x v="0"/>
    <x v="2"/>
    <n v="10"/>
    <n v="870"/>
    <n v="10"/>
    <n v="7830"/>
    <n v="6420"/>
    <n v="1410"/>
    <x v="1"/>
    <x v="1"/>
  </r>
  <r>
    <n v="10609"/>
    <x v="360"/>
    <s v="Vivek"/>
    <x v="3"/>
    <x v="1"/>
    <x v="13"/>
    <x v="3"/>
    <n v="3"/>
    <n v="660"/>
    <n v="15"/>
    <n v="1683"/>
    <n v="1009"/>
    <n v="674"/>
    <x v="1"/>
    <x v="0"/>
  </r>
  <r>
    <n v="10610"/>
    <x v="361"/>
    <s v="Nikhil"/>
    <x v="2"/>
    <x v="0"/>
    <x v="10"/>
    <x v="3"/>
    <n v="10"/>
    <n v="660"/>
    <n v="10"/>
    <n v="5940"/>
    <n v="4336"/>
    <n v="1604"/>
    <x v="1"/>
    <x v="0"/>
  </r>
  <r>
    <n v="10611"/>
    <x v="362"/>
    <s v="Mohit"/>
    <x v="2"/>
    <x v="0"/>
    <x v="8"/>
    <x v="1"/>
    <n v="1"/>
    <n v="1940"/>
    <n v="5"/>
    <n v="1843"/>
    <n v="1474"/>
    <n v="369"/>
    <x v="0"/>
    <x v="0"/>
  </r>
  <r>
    <n v="10612"/>
    <x v="30"/>
    <s v="Amit"/>
    <x v="2"/>
    <x v="0"/>
    <x v="8"/>
    <x v="1"/>
    <n v="4"/>
    <n v="210"/>
    <n v="0"/>
    <n v="840"/>
    <n v="520"/>
    <n v="320"/>
    <x v="0"/>
    <x v="4"/>
  </r>
  <r>
    <n v="10613"/>
    <x v="353"/>
    <s v="Nikhil"/>
    <x v="0"/>
    <x v="0"/>
    <x v="0"/>
    <x v="3"/>
    <n v="15"/>
    <n v="1250"/>
    <n v="20"/>
    <n v="15000"/>
    <n v="8700"/>
    <n v="6300"/>
    <x v="0"/>
    <x v="4"/>
  </r>
  <r>
    <n v="10614"/>
    <x v="344"/>
    <s v="Kiran"/>
    <x v="0"/>
    <x v="2"/>
    <x v="5"/>
    <x v="5"/>
    <n v="8"/>
    <n v="570"/>
    <n v="15"/>
    <n v="3876"/>
    <n v="2403"/>
    <n v="1473"/>
    <x v="2"/>
    <x v="1"/>
  </r>
  <r>
    <n v="10615"/>
    <x v="196"/>
    <s v="Nikhil"/>
    <x v="1"/>
    <x v="2"/>
    <x v="9"/>
    <x v="2"/>
    <n v="3"/>
    <n v="1610"/>
    <n v="10"/>
    <n v="4347"/>
    <n v="2738"/>
    <n v="1609"/>
    <x v="0"/>
    <x v="4"/>
  </r>
  <r>
    <n v="10616"/>
    <x v="363"/>
    <s v="Vivek"/>
    <x v="1"/>
    <x v="2"/>
    <x v="5"/>
    <x v="3"/>
    <n v="4"/>
    <n v="670"/>
    <n v="15"/>
    <n v="2278"/>
    <n v="1708"/>
    <n v="570"/>
    <x v="3"/>
    <x v="1"/>
  </r>
  <r>
    <n v="10617"/>
    <x v="243"/>
    <s v="Kiran"/>
    <x v="2"/>
    <x v="1"/>
    <x v="4"/>
    <x v="1"/>
    <n v="12"/>
    <n v="710"/>
    <n v="5"/>
    <n v="8094"/>
    <n v="5180"/>
    <n v="2914"/>
    <x v="3"/>
    <x v="0"/>
  </r>
  <r>
    <n v="10619"/>
    <x v="246"/>
    <s v="Sneha"/>
    <x v="0"/>
    <x v="2"/>
    <x v="9"/>
    <x v="1"/>
    <n v="1"/>
    <n v="1440"/>
    <n v="5"/>
    <n v="1368"/>
    <n v="943"/>
    <n v="425"/>
    <x v="0"/>
    <x v="0"/>
  </r>
  <r>
    <n v="10621"/>
    <x v="250"/>
    <s v="Nikhil"/>
    <x v="3"/>
    <x v="1"/>
    <x v="3"/>
    <x v="6"/>
    <n v="3"/>
    <n v="900"/>
    <n v="20"/>
    <n v="2160"/>
    <n v="1620"/>
    <n v="540"/>
    <x v="0"/>
    <x v="1"/>
  </r>
  <r>
    <n v="10622"/>
    <x v="30"/>
    <s v="Riya"/>
    <x v="3"/>
    <x v="2"/>
    <x v="12"/>
    <x v="5"/>
    <n v="3"/>
    <n v="1430"/>
    <n v="5"/>
    <n v="4075.5"/>
    <n v="3423"/>
    <n v="652.5"/>
    <x v="3"/>
    <x v="4"/>
  </r>
  <r>
    <n v="10623"/>
    <x v="364"/>
    <s v="Sara"/>
    <x v="1"/>
    <x v="2"/>
    <x v="9"/>
    <x v="0"/>
    <n v="6"/>
    <n v="1030"/>
    <n v="10"/>
    <n v="5562"/>
    <n v="4115"/>
    <n v="1447"/>
    <x v="3"/>
    <x v="2"/>
  </r>
  <r>
    <n v="10624"/>
    <x v="365"/>
    <s v="Mohit"/>
    <x v="3"/>
    <x v="0"/>
    <x v="1"/>
    <x v="6"/>
    <n v="11"/>
    <n v="940"/>
    <n v="10"/>
    <n v="9306"/>
    <n v="7444"/>
    <n v="1862"/>
    <x v="1"/>
    <x v="0"/>
  </r>
  <r>
    <n v="10625"/>
    <x v="366"/>
    <s v="Neha"/>
    <x v="2"/>
    <x v="0"/>
    <x v="0"/>
    <x v="5"/>
    <n v="2"/>
    <n v="810"/>
    <n v="0"/>
    <n v="1620"/>
    <n v="1247"/>
    <n v="373"/>
    <x v="2"/>
    <x v="3"/>
  </r>
  <r>
    <n v="10626"/>
    <x v="149"/>
    <s v="Riya"/>
    <x v="2"/>
    <x v="2"/>
    <x v="7"/>
    <x v="4"/>
    <n v="9"/>
    <n v="1560"/>
    <n v="5"/>
    <n v="13338"/>
    <n v="8803"/>
    <n v="4535"/>
    <x v="2"/>
    <x v="3"/>
  </r>
  <r>
    <n v="10627"/>
    <x v="367"/>
    <s v="Mohit"/>
    <x v="3"/>
    <x v="0"/>
    <x v="2"/>
    <x v="2"/>
    <n v="10"/>
    <n v="1550"/>
    <n v="0"/>
    <n v="15500"/>
    <n v="13020"/>
    <n v="2480"/>
    <x v="3"/>
    <x v="1"/>
  </r>
  <r>
    <n v="10628"/>
    <x v="224"/>
    <s v="Anjali"/>
    <x v="3"/>
    <x v="2"/>
    <x v="5"/>
    <x v="2"/>
    <n v="10"/>
    <n v="1020"/>
    <n v="15"/>
    <n v="8670"/>
    <n v="6155"/>
    <n v="2515"/>
    <x v="3"/>
    <x v="2"/>
  </r>
  <r>
    <n v="10629"/>
    <x v="368"/>
    <s v="Vivek"/>
    <x v="2"/>
    <x v="2"/>
    <x v="6"/>
    <x v="2"/>
    <n v="5"/>
    <n v="530"/>
    <n v="10"/>
    <n v="2385"/>
    <n v="1693"/>
    <n v="692"/>
    <x v="0"/>
    <x v="4"/>
  </r>
  <r>
    <n v="10630"/>
    <x v="369"/>
    <s v="Vivek"/>
    <x v="1"/>
    <x v="0"/>
    <x v="2"/>
    <x v="1"/>
    <n v="7"/>
    <n v="1710"/>
    <n v="20"/>
    <n v="9576"/>
    <n v="7565"/>
    <n v="2011"/>
    <x v="1"/>
    <x v="0"/>
  </r>
  <r>
    <n v="10631"/>
    <x v="261"/>
    <s v="Amit"/>
    <x v="3"/>
    <x v="0"/>
    <x v="2"/>
    <x v="1"/>
    <n v="8"/>
    <n v="350"/>
    <n v="0"/>
    <n v="2800"/>
    <n v="2352"/>
    <n v="448"/>
    <x v="2"/>
    <x v="2"/>
  </r>
  <r>
    <n v="10633"/>
    <x v="117"/>
    <s v="Amit"/>
    <x v="3"/>
    <x v="0"/>
    <x v="1"/>
    <x v="4"/>
    <n v="9"/>
    <n v="240"/>
    <n v="15"/>
    <n v="1836"/>
    <n v="1211"/>
    <n v="625"/>
    <x v="3"/>
    <x v="1"/>
  </r>
  <r>
    <n v="10634"/>
    <x v="304"/>
    <s v="Sneha"/>
    <x v="1"/>
    <x v="2"/>
    <x v="7"/>
    <x v="2"/>
    <n v="10"/>
    <n v="650"/>
    <n v="15"/>
    <n v="5525"/>
    <n v="3867"/>
    <n v="1658"/>
    <x v="1"/>
    <x v="4"/>
  </r>
  <r>
    <n v="10635"/>
    <x v="79"/>
    <s v="Anjali"/>
    <x v="0"/>
    <x v="1"/>
    <x v="3"/>
    <x v="5"/>
    <n v="5"/>
    <n v="1990"/>
    <n v="20"/>
    <n v="7960"/>
    <n v="5412"/>
    <n v="2548"/>
    <x v="2"/>
    <x v="0"/>
  </r>
  <r>
    <n v="10636"/>
    <x v="38"/>
    <s v="Riya"/>
    <x v="1"/>
    <x v="0"/>
    <x v="10"/>
    <x v="1"/>
    <n v="10"/>
    <n v="330"/>
    <n v="5"/>
    <n v="3135"/>
    <n v="2194"/>
    <n v="941"/>
    <x v="1"/>
    <x v="1"/>
  </r>
  <r>
    <n v="10637"/>
    <x v="336"/>
    <s v="Riya"/>
    <x v="3"/>
    <x v="2"/>
    <x v="9"/>
    <x v="6"/>
    <n v="5"/>
    <n v="1620"/>
    <n v="0"/>
    <n v="8100"/>
    <n v="6075"/>
    <n v="2025"/>
    <x v="0"/>
    <x v="3"/>
  </r>
  <r>
    <n v="10638"/>
    <x v="8"/>
    <s v="Nikhil"/>
    <x v="0"/>
    <x v="1"/>
    <x v="4"/>
    <x v="5"/>
    <n v="8"/>
    <n v="1100"/>
    <n v="0"/>
    <n v="8800"/>
    <n v="5544"/>
    <n v="3256"/>
    <x v="1"/>
    <x v="3"/>
  </r>
  <r>
    <n v="10639"/>
    <x v="312"/>
    <s v="Sara"/>
    <x v="0"/>
    <x v="0"/>
    <x v="2"/>
    <x v="2"/>
    <n v="2"/>
    <n v="1320"/>
    <n v="10"/>
    <n v="2376"/>
    <n v="1568"/>
    <n v="808"/>
    <x v="0"/>
    <x v="3"/>
  </r>
  <r>
    <n v="10640"/>
    <x v="178"/>
    <s v="Nikhil"/>
    <x v="1"/>
    <x v="1"/>
    <x v="3"/>
    <x v="1"/>
    <n v="1"/>
    <n v="1290"/>
    <n v="20"/>
    <n v="1032"/>
    <n v="866"/>
    <n v="166"/>
    <x v="1"/>
    <x v="0"/>
  </r>
  <r>
    <n v="10641"/>
    <x v="369"/>
    <s v="Neha"/>
    <x v="1"/>
    <x v="0"/>
    <x v="0"/>
    <x v="6"/>
    <n v="5"/>
    <n v="1230"/>
    <n v="20"/>
    <n v="4920"/>
    <n v="3247"/>
    <n v="1673"/>
    <x v="0"/>
    <x v="4"/>
  </r>
  <r>
    <n v="10642"/>
    <x v="370"/>
    <s v="Vivek"/>
    <x v="0"/>
    <x v="1"/>
    <x v="3"/>
    <x v="5"/>
    <n v="1"/>
    <n v="1870"/>
    <n v="5"/>
    <n v="1776.5"/>
    <n v="1438"/>
    <n v="338.5"/>
    <x v="2"/>
    <x v="3"/>
  </r>
  <r>
    <n v="10643"/>
    <x v="371"/>
    <s v="Vivek"/>
    <x v="3"/>
    <x v="2"/>
    <x v="9"/>
    <x v="4"/>
    <n v="4"/>
    <n v="1570"/>
    <n v="5"/>
    <n v="5966"/>
    <n v="3281"/>
    <n v="2685"/>
    <x v="0"/>
    <x v="1"/>
  </r>
  <r>
    <n v="10644"/>
    <x v="50"/>
    <s v="Vivek"/>
    <x v="2"/>
    <x v="0"/>
    <x v="2"/>
    <x v="2"/>
    <n v="1"/>
    <n v="1300"/>
    <n v="15"/>
    <n v="1105"/>
    <n v="651"/>
    <n v="454"/>
    <x v="1"/>
    <x v="3"/>
  </r>
  <r>
    <n v="10645"/>
    <x v="14"/>
    <s v="Anjali"/>
    <x v="2"/>
    <x v="1"/>
    <x v="13"/>
    <x v="0"/>
    <n v="11"/>
    <n v="1760"/>
    <n v="5"/>
    <n v="18392"/>
    <n v="14713"/>
    <n v="3679"/>
    <x v="1"/>
    <x v="3"/>
  </r>
  <r>
    <n v="10646"/>
    <x v="141"/>
    <s v="Amit"/>
    <x v="2"/>
    <x v="1"/>
    <x v="4"/>
    <x v="4"/>
    <n v="5"/>
    <n v="1080"/>
    <n v="5"/>
    <n v="5130"/>
    <n v="4052"/>
    <n v="1078"/>
    <x v="2"/>
    <x v="2"/>
  </r>
  <r>
    <n v="10647"/>
    <x v="352"/>
    <s v="Vivek"/>
    <x v="1"/>
    <x v="1"/>
    <x v="3"/>
    <x v="5"/>
    <n v="13"/>
    <n v="1590"/>
    <n v="20"/>
    <n v="16536"/>
    <n v="9590"/>
    <n v="6946"/>
    <x v="2"/>
    <x v="1"/>
  </r>
  <r>
    <n v="10648"/>
    <x v="372"/>
    <s v="Kiran"/>
    <x v="3"/>
    <x v="1"/>
    <x v="11"/>
    <x v="4"/>
    <n v="6"/>
    <n v="1770"/>
    <n v="15"/>
    <n v="9027"/>
    <n v="5235"/>
    <n v="3792"/>
    <x v="3"/>
    <x v="3"/>
  </r>
  <r>
    <n v="10649"/>
    <x v="297"/>
    <s v="Sara"/>
    <x v="0"/>
    <x v="2"/>
    <x v="9"/>
    <x v="3"/>
    <n v="10"/>
    <n v="1340"/>
    <n v="15"/>
    <n v="11390"/>
    <n v="9225"/>
    <n v="2165"/>
    <x v="1"/>
    <x v="4"/>
  </r>
  <r>
    <n v="10650"/>
    <x v="63"/>
    <s v="Mohit"/>
    <x v="2"/>
    <x v="1"/>
    <x v="4"/>
    <x v="4"/>
    <n v="5"/>
    <n v="540"/>
    <n v="10"/>
    <n v="2430"/>
    <n v="1360"/>
    <n v="1070"/>
    <x v="2"/>
    <x v="4"/>
  </r>
  <r>
    <n v="10651"/>
    <x v="296"/>
    <s v="Neha"/>
    <x v="1"/>
    <x v="0"/>
    <x v="1"/>
    <x v="5"/>
    <n v="10"/>
    <n v="1270"/>
    <n v="5"/>
    <n v="12065"/>
    <n v="10134"/>
    <n v="1931"/>
    <x v="3"/>
    <x v="4"/>
  </r>
  <r>
    <n v="10652"/>
    <x v="305"/>
    <s v="Mohit"/>
    <x v="3"/>
    <x v="2"/>
    <x v="7"/>
    <x v="3"/>
    <n v="5"/>
    <n v="770"/>
    <n v="5"/>
    <n v="3657.5"/>
    <n v="2889"/>
    <n v="768.5"/>
    <x v="1"/>
    <x v="1"/>
  </r>
  <r>
    <n v="10653"/>
    <x v="96"/>
    <s v="Anjali"/>
    <x v="2"/>
    <x v="1"/>
    <x v="13"/>
    <x v="5"/>
    <n v="3"/>
    <n v="540"/>
    <n v="10"/>
    <n v="1458"/>
    <n v="976"/>
    <n v="482"/>
    <x v="0"/>
    <x v="1"/>
  </r>
  <r>
    <n v="10654"/>
    <x v="295"/>
    <s v="Sara"/>
    <x v="2"/>
    <x v="2"/>
    <x v="7"/>
    <x v="2"/>
    <n v="8"/>
    <n v="470"/>
    <n v="0"/>
    <n v="3760"/>
    <n v="2744"/>
    <n v="1016"/>
    <x v="0"/>
    <x v="4"/>
  </r>
  <r>
    <n v="10655"/>
    <x v="243"/>
    <s v="Sara"/>
    <x v="0"/>
    <x v="2"/>
    <x v="9"/>
    <x v="2"/>
    <n v="6"/>
    <n v="920"/>
    <n v="5"/>
    <n v="5244"/>
    <n v="3880"/>
    <n v="1364"/>
    <x v="3"/>
    <x v="4"/>
  </r>
  <r>
    <n v="10656"/>
    <x v="272"/>
    <s v="Mohit"/>
    <x v="2"/>
    <x v="1"/>
    <x v="3"/>
    <x v="0"/>
    <n v="2"/>
    <n v="330"/>
    <n v="15"/>
    <n v="561"/>
    <n v="375"/>
    <n v="186"/>
    <x v="3"/>
    <x v="4"/>
  </r>
  <r>
    <n v="10657"/>
    <x v="373"/>
    <s v="Nikhil"/>
    <x v="3"/>
    <x v="0"/>
    <x v="0"/>
    <x v="6"/>
    <n v="5"/>
    <n v="1500"/>
    <n v="5"/>
    <n v="7125"/>
    <n v="3918"/>
    <n v="3207"/>
    <x v="3"/>
    <x v="3"/>
  </r>
  <r>
    <n v="10658"/>
    <x v="374"/>
    <s v="Kiran"/>
    <x v="1"/>
    <x v="0"/>
    <x v="1"/>
    <x v="2"/>
    <n v="15"/>
    <n v="570"/>
    <n v="0"/>
    <n v="8550"/>
    <n v="6840"/>
    <n v="1710"/>
    <x v="0"/>
    <x v="1"/>
  </r>
  <r>
    <n v="10659"/>
    <x v="375"/>
    <s v="Mohit"/>
    <x v="2"/>
    <x v="2"/>
    <x v="7"/>
    <x v="4"/>
    <n v="14"/>
    <n v="1450"/>
    <n v="20"/>
    <n v="16240"/>
    <n v="12504"/>
    <n v="3736"/>
    <x v="2"/>
    <x v="2"/>
  </r>
  <r>
    <n v="10660"/>
    <x v="363"/>
    <s v="Vivek"/>
    <x v="3"/>
    <x v="0"/>
    <x v="1"/>
    <x v="6"/>
    <n v="9"/>
    <n v="1590"/>
    <n v="15"/>
    <n v="12163.5"/>
    <n v="7541"/>
    <n v="4622.5"/>
    <x v="3"/>
    <x v="3"/>
  </r>
  <r>
    <n v="10661"/>
    <x v="368"/>
    <s v="Sara"/>
    <x v="2"/>
    <x v="2"/>
    <x v="6"/>
    <x v="5"/>
    <n v="8"/>
    <n v="1050"/>
    <n v="10"/>
    <n v="7560"/>
    <n v="5670"/>
    <n v="1890"/>
    <x v="2"/>
    <x v="0"/>
  </r>
  <r>
    <n v="10662"/>
    <x v="18"/>
    <s v="Sara"/>
    <x v="0"/>
    <x v="1"/>
    <x v="4"/>
    <x v="2"/>
    <n v="4"/>
    <n v="1660"/>
    <n v="15"/>
    <n v="5644"/>
    <n v="4458"/>
    <n v="1186"/>
    <x v="3"/>
    <x v="4"/>
  </r>
  <r>
    <n v="10663"/>
    <x v="376"/>
    <s v="Riya"/>
    <x v="1"/>
    <x v="2"/>
    <x v="12"/>
    <x v="3"/>
    <n v="5"/>
    <n v="1320"/>
    <n v="10"/>
    <n v="5940"/>
    <n v="4039"/>
    <n v="1901"/>
    <x v="0"/>
    <x v="2"/>
  </r>
  <r>
    <n v="10664"/>
    <x v="106"/>
    <s v="Nikhil"/>
    <x v="0"/>
    <x v="1"/>
    <x v="3"/>
    <x v="3"/>
    <n v="14"/>
    <n v="1980"/>
    <n v="0"/>
    <n v="27720"/>
    <n v="18572"/>
    <n v="9148"/>
    <x v="0"/>
    <x v="3"/>
  </r>
  <r>
    <n v="10665"/>
    <x v="92"/>
    <s v="Nikhil"/>
    <x v="2"/>
    <x v="0"/>
    <x v="1"/>
    <x v="6"/>
    <n v="2"/>
    <n v="1350"/>
    <n v="5"/>
    <n v="2565"/>
    <n v="1615"/>
    <n v="950"/>
    <x v="1"/>
    <x v="4"/>
  </r>
  <r>
    <n v="10668"/>
    <x v="29"/>
    <s v="Riya"/>
    <x v="3"/>
    <x v="0"/>
    <x v="1"/>
    <x v="4"/>
    <n v="7"/>
    <n v="630"/>
    <n v="15"/>
    <n v="3748.5"/>
    <n v="3073"/>
    <n v="675.5"/>
    <x v="1"/>
    <x v="4"/>
  </r>
  <r>
    <n v="10669"/>
    <x v="184"/>
    <s v="Anjali"/>
    <x v="0"/>
    <x v="0"/>
    <x v="8"/>
    <x v="3"/>
    <n v="13"/>
    <n v="1110"/>
    <n v="15"/>
    <n v="12265.5"/>
    <n v="8463"/>
    <n v="3802.5"/>
    <x v="1"/>
    <x v="0"/>
  </r>
  <r>
    <n v="10670"/>
    <x v="94"/>
    <s v="Vivek"/>
    <x v="3"/>
    <x v="2"/>
    <x v="9"/>
    <x v="5"/>
    <n v="6"/>
    <n v="260"/>
    <n v="20"/>
    <n v="1248"/>
    <n v="736"/>
    <n v="512"/>
    <x v="1"/>
    <x v="0"/>
  </r>
  <r>
    <n v="10671"/>
    <x v="349"/>
    <s v="Sneha"/>
    <x v="1"/>
    <x v="0"/>
    <x v="2"/>
    <x v="4"/>
    <n v="15"/>
    <n v="880"/>
    <n v="20"/>
    <n v="10560"/>
    <n v="8659"/>
    <n v="1901"/>
    <x v="3"/>
    <x v="0"/>
  </r>
  <r>
    <n v="10672"/>
    <x v="377"/>
    <s v="Vivek"/>
    <x v="2"/>
    <x v="2"/>
    <x v="7"/>
    <x v="0"/>
    <n v="14"/>
    <n v="1880"/>
    <n v="5"/>
    <n v="25004"/>
    <n v="17752"/>
    <n v="7252"/>
    <x v="2"/>
    <x v="1"/>
  </r>
  <r>
    <n v="10673"/>
    <x v="316"/>
    <s v="Riya"/>
    <x v="1"/>
    <x v="0"/>
    <x v="10"/>
    <x v="0"/>
    <n v="12"/>
    <n v="790"/>
    <n v="10"/>
    <n v="8532"/>
    <n v="6143"/>
    <n v="2389"/>
    <x v="1"/>
    <x v="0"/>
  </r>
  <r>
    <n v="10674"/>
    <x v="283"/>
    <s v="Riya"/>
    <x v="2"/>
    <x v="1"/>
    <x v="4"/>
    <x v="4"/>
    <n v="12"/>
    <n v="640"/>
    <n v="0"/>
    <n v="7680"/>
    <n v="6220"/>
    <n v="1460"/>
    <x v="0"/>
    <x v="1"/>
  </r>
  <r>
    <n v="10675"/>
    <x v="361"/>
    <s v="Anjali"/>
    <x v="2"/>
    <x v="1"/>
    <x v="11"/>
    <x v="1"/>
    <n v="4"/>
    <n v="860"/>
    <n v="15"/>
    <n v="2924"/>
    <n v="2163"/>
    <n v="761"/>
    <x v="3"/>
    <x v="2"/>
  </r>
  <r>
    <n v="10676"/>
    <x v="11"/>
    <s v="Neha"/>
    <x v="3"/>
    <x v="0"/>
    <x v="2"/>
    <x v="1"/>
    <n v="5"/>
    <n v="220"/>
    <n v="15"/>
    <n v="935"/>
    <n v="570"/>
    <n v="365"/>
    <x v="3"/>
    <x v="4"/>
  </r>
  <r>
    <n v="10677"/>
    <x v="378"/>
    <s v="Nikhil"/>
    <x v="1"/>
    <x v="0"/>
    <x v="0"/>
    <x v="4"/>
    <n v="6"/>
    <n v="850"/>
    <n v="0"/>
    <n v="5100"/>
    <n v="3825"/>
    <n v="1275"/>
    <x v="1"/>
    <x v="4"/>
  </r>
  <r>
    <n v="10678"/>
    <x v="265"/>
    <s v="Riya"/>
    <x v="0"/>
    <x v="0"/>
    <x v="8"/>
    <x v="3"/>
    <n v="2"/>
    <n v="1830"/>
    <n v="15"/>
    <n v="3111"/>
    <n v="2115"/>
    <n v="996"/>
    <x v="3"/>
    <x v="1"/>
  </r>
  <r>
    <n v="10679"/>
    <x v="379"/>
    <s v="Nikhil"/>
    <x v="3"/>
    <x v="1"/>
    <x v="13"/>
    <x v="5"/>
    <n v="11"/>
    <n v="620"/>
    <n v="10"/>
    <n v="6138"/>
    <n v="4787"/>
    <n v="1351"/>
    <x v="3"/>
    <x v="0"/>
  </r>
  <r>
    <n v="10680"/>
    <x v="380"/>
    <s v="Amit"/>
    <x v="1"/>
    <x v="1"/>
    <x v="11"/>
    <x v="4"/>
    <n v="4"/>
    <n v="1890"/>
    <n v="20"/>
    <n v="6048"/>
    <n v="3870"/>
    <n v="2178"/>
    <x v="1"/>
    <x v="3"/>
  </r>
  <r>
    <n v="10681"/>
    <x v="84"/>
    <s v="Anjali"/>
    <x v="1"/>
    <x v="2"/>
    <x v="5"/>
    <x v="6"/>
    <n v="1"/>
    <n v="1830"/>
    <n v="15"/>
    <n v="1555.5"/>
    <n v="1166"/>
    <n v="389.5"/>
    <x v="1"/>
    <x v="3"/>
  </r>
  <r>
    <n v="10682"/>
    <x v="381"/>
    <s v="Nikhil"/>
    <x v="3"/>
    <x v="1"/>
    <x v="13"/>
    <x v="0"/>
    <n v="12"/>
    <n v="810"/>
    <n v="15"/>
    <n v="8262"/>
    <n v="4626"/>
    <n v="3636"/>
    <x v="2"/>
    <x v="0"/>
  </r>
  <r>
    <n v="10683"/>
    <x v="382"/>
    <s v="Kiran"/>
    <x v="3"/>
    <x v="2"/>
    <x v="12"/>
    <x v="2"/>
    <n v="3"/>
    <n v="650"/>
    <n v="15"/>
    <n v="1657.5"/>
    <n v="1342"/>
    <n v="315.5"/>
    <x v="3"/>
    <x v="0"/>
  </r>
  <r>
    <n v="10684"/>
    <x v="196"/>
    <s v="Nikhil"/>
    <x v="1"/>
    <x v="0"/>
    <x v="0"/>
    <x v="3"/>
    <n v="9"/>
    <n v="1850"/>
    <n v="20"/>
    <n v="13320"/>
    <n v="10123"/>
    <n v="3197"/>
    <x v="3"/>
    <x v="1"/>
  </r>
  <r>
    <n v="10685"/>
    <x v="80"/>
    <s v="Riya"/>
    <x v="3"/>
    <x v="1"/>
    <x v="3"/>
    <x v="2"/>
    <n v="5"/>
    <n v="1170"/>
    <n v="0"/>
    <n v="5850"/>
    <n v="4387"/>
    <n v="1463"/>
    <x v="1"/>
    <x v="1"/>
  </r>
  <r>
    <n v="10686"/>
    <x v="383"/>
    <s v="Amit"/>
    <x v="1"/>
    <x v="0"/>
    <x v="0"/>
    <x v="0"/>
    <n v="1"/>
    <n v="1080"/>
    <n v="20"/>
    <n v="864"/>
    <n v="604"/>
    <n v="260"/>
    <x v="0"/>
    <x v="3"/>
  </r>
  <r>
    <n v="10687"/>
    <x v="259"/>
    <s v="Neha"/>
    <x v="1"/>
    <x v="1"/>
    <x v="11"/>
    <x v="1"/>
    <n v="13"/>
    <n v="1050"/>
    <n v="20"/>
    <n v="10920"/>
    <n v="6115"/>
    <n v="4805"/>
    <x v="2"/>
    <x v="1"/>
  </r>
  <r>
    <n v="10688"/>
    <x v="384"/>
    <s v="Sara"/>
    <x v="0"/>
    <x v="1"/>
    <x v="4"/>
    <x v="5"/>
    <n v="10"/>
    <n v="1830"/>
    <n v="20"/>
    <n v="14640"/>
    <n v="12151"/>
    <n v="2489"/>
    <x v="2"/>
    <x v="1"/>
  </r>
  <r>
    <n v="10689"/>
    <x v="385"/>
    <s v="Nikhil"/>
    <x v="2"/>
    <x v="0"/>
    <x v="10"/>
    <x v="2"/>
    <n v="2"/>
    <n v="200"/>
    <n v="10"/>
    <n v="360"/>
    <n v="280"/>
    <n v="80"/>
    <x v="0"/>
    <x v="3"/>
  </r>
  <r>
    <n v="10690"/>
    <x v="386"/>
    <s v="Mohit"/>
    <x v="3"/>
    <x v="0"/>
    <x v="1"/>
    <x v="6"/>
    <n v="14"/>
    <n v="1110"/>
    <n v="0"/>
    <n v="15540"/>
    <n v="10256"/>
    <n v="5284"/>
    <x v="0"/>
    <x v="0"/>
  </r>
  <r>
    <n v="10692"/>
    <x v="387"/>
    <s v="Vivek"/>
    <x v="0"/>
    <x v="0"/>
    <x v="2"/>
    <x v="4"/>
    <n v="10"/>
    <n v="710"/>
    <n v="5"/>
    <n v="6745"/>
    <n v="4384"/>
    <n v="2361"/>
    <x v="3"/>
    <x v="0"/>
  </r>
  <r>
    <n v="10693"/>
    <x v="27"/>
    <s v="Mohit"/>
    <x v="3"/>
    <x v="1"/>
    <x v="3"/>
    <x v="6"/>
    <n v="6"/>
    <n v="1120"/>
    <n v="5"/>
    <n v="6384"/>
    <n v="5426"/>
    <n v="958"/>
    <x v="1"/>
    <x v="4"/>
  </r>
  <r>
    <n v="10694"/>
    <x v="282"/>
    <s v="Nikhil"/>
    <x v="0"/>
    <x v="1"/>
    <x v="11"/>
    <x v="5"/>
    <n v="4"/>
    <n v="290"/>
    <n v="5"/>
    <n v="1102"/>
    <n v="705"/>
    <n v="397"/>
    <x v="0"/>
    <x v="0"/>
  </r>
  <r>
    <n v="10695"/>
    <x v="107"/>
    <s v="Sara"/>
    <x v="1"/>
    <x v="0"/>
    <x v="8"/>
    <x v="3"/>
    <n v="11"/>
    <n v="1770"/>
    <n v="5"/>
    <n v="18496.5"/>
    <n v="14057"/>
    <n v="4439.5"/>
    <x v="3"/>
    <x v="1"/>
  </r>
  <r>
    <n v="10696"/>
    <x v="153"/>
    <s v="Sneha"/>
    <x v="1"/>
    <x v="1"/>
    <x v="3"/>
    <x v="0"/>
    <n v="6"/>
    <n v="260"/>
    <n v="15"/>
    <n v="1326"/>
    <n v="822"/>
    <n v="504"/>
    <x v="3"/>
    <x v="0"/>
  </r>
  <r>
    <n v="10697"/>
    <x v="9"/>
    <s v="Kiran"/>
    <x v="3"/>
    <x v="1"/>
    <x v="4"/>
    <x v="4"/>
    <n v="13"/>
    <n v="1160"/>
    <n v="0"/>
    <n v="15080"/>
    <n v="8294"/>
    <n v="6786"/>
    <x v="0"/>
    <x v="4"/>
  </r>
  <r>
    <n v="10698"/>
    <x v="110"/>
    <s v="Vivek"/>
    <x v="3"/>
    <x v="2"/>
    <x v="9"/>
    <x v="2"/>
    <n v="13"/>
    <n v="1860"/>
    <n v="15"/>
    <n v="20553"/>
    <n v="12126"/>
    <n v="8427"/>
    <x v="2"/>
    <x v="1"/>
  </r>
  <r>
    <n v="10699"/>
    <x v="388"/>
    <s v="Sara"/>
    <x v="0"/>
    <x v="2"/>
    <x v="6"/>
    <x v="6"/>
    <n v="4"/>
    <n v="1440"/>
    <n v="15"/>
    <n v="4896"/>
    <n v="3525"/>
    <n v="1371"/>
    <x v="1"/>
    <x v="2"/>
  </r>
  <r>
    <n v="10700"/>
    <x v="389"/>
    <s v="Vivek"/>
    <x v="0"/>
    <x v="1"/>
    <x v="4"/>
    <x v="6"/>
    <n v="6"/>
    <n v="1560"/>
    <n v="15"/>
    <n v="7956"/>
    <n v="5330"/>
    <n v="2626"/>
    <x v="1"/>
    <x v="3"/>
  </r>
  <r>
    <n v="10701"/>
    <x v="390"/>
    <s v="Neha"/>
    <x v="1"/>
    <x v="0"/>
    <x v="0"/>
    <x v="3"/>
    <n v="11"/>
    <n v="1530"/>
    <n v="10"/>
    <n v="15147"/>
    <n v="9239"/>
    <n v="5908"/>
    <x v="3"/>
    <x v="3"/>
  </r>
  <r>
    <n v="10702"/>
    <x v="364"/>
    <s v="Neha"/>
    <x v="3"/>
    <x v="0"/>
    <x v="1"/>
    <x v="0"/>
    <n v="9"/>
    <n v="1260"/>
    <n v="15"/>
    <n v="9639"/>
    <n v="5687"/>
    <n v="3952"/>
    <x v="1"/>
    <x v="3"/>
  </r>
  <r>
    <n v="10703"/>
    <x v="166"/>
    <s v="Sara"/>
    <x v="2"/>
    <x v="1"/>
    <x v="11"/>
    <x v="5"/>
    <n v="14"/>
    <n v="1250"/>
    <n v="15"/>
    <n v="14875"/>
    <n v="9817"/>
    <n v="5058"/>
    <x v="3"/>
    <x v="0"/>
  </r>
  <r>
    <n v="10704"/>
    <x v="143"/>
    <s v="Nikhil"/>
    <x v="0"/>
    <x v="0"/>
    <x v="1"/>
    <x v="1"/>
    <n v="14"/>
    <n v="1960"/>
    <n v="0"/>
    <n v="27440"/>
    <n v="19482"/>
    <n v="7958"/>
    <x v="1"/>
    <x v="2"/>
  </r>
  <r>
    <n v="10705"/>
    <x v="191"/>
    <s v="Vivek"/>
    <x v="0"/>
    <x v="2"/>
    <x v="5"/>
    <x v="2"/>
    <n v="5"/>
    <n v="520"/>
    <n v="15"/>
    <n v="2210"/>
    <n v="1502"/>
    <n v="708"/>
    <x v="2"/>
    <x v="0"/>
  </r>
  <r>
    <n v="10706"/>
    <x v="391"/>
    <s v="Kiran"/>
    <x v="1"/>
    <x v="2"/>
    <x v="6"/>
    <x v="4"/>
    <n v="15"/>
    <n v="730"/>
    <n v="5"/>
    <n v="10402.5"/>
    <n v="7489"/>
    <n v="2913.5"/>
    <x v="3"/>
    <x v="1"/>
  </r>
  <r>
    <n v="10707"/>
    <x v="392"/>
    <s v="Anjali"/>
    <x v="0"/>
    <x v="2"/>
    <x v="9"/>
    <x v="5"/>
    <n v="14"/>
    <n v="1160"/>
    <n v="15"/>
    <n v="13804"/>
    <n v="9938"/>
    <n v="3866"/>
    <x v="2"/>
    <x v="0"/>
  </r>
  <r>
    <n v="10708"/>
    <x v="392"/>
    <s v="Riya"/>
    <x v="0"/>
    <x v="1"/>
    <x v="4"/>
    <x v="3"/>
    <n v="8"/>
    <n v="1370"/>
    <n v="15"/>
    <n v="9316"/>
    <n v="5962"/>
    <n v="3354"/>
    <x v="0"/>
    <x v="2"/>
  </r>
  <r>
    <n v="10709"/>
    <x v="393"/>
    <s v="Mohit"/>
    <x v="0"/>
    <x v="1"/>
    <x v="4"/>
    <x v="6"/>
    <n v="8"/>
    <n v="1290"/>
    <n v="10"/>
    <n v="9288"/>
    <n v="6315"/>
    <n v="2973"/>
    <x v="3"/>
    <x v="2"/>
  </r>
  <r>
    <n v="10710"/>
    <x v="280"/>
    <s v="Kiran"/>
    <x v="0"/>
    <x v="1"/>
    <x v="4"/>
    <x v="4"/>
    <n v="9"/>
    <n v="390"/>
    <n v="15"/>
    <n v="2983.5"/>
    <n v="1640"/>
    <n v="1343.5"/>
    <x v="0"/>
    <x v="2"/>
  </r>
  <r>
    <n v="10711"/>
    <x v="113"/>
    <s v="Vivek"/>
    <x v="3"/>
    <x v="0"/>
    <x v="0"/>
    <x v="3"/>
    <n v="7"/>
    <n v="400"/>
    <n v="5"/>
    <n v="2660"/>
    <n v="2101"/>
    <n v="559"/>
    <x v="0"/>
    <x v="3"/>
  </r>
  <r>
    <n v="10712"/>
    <x v="394"/>
    <s v="Sneha"/>
    <x v="2"/>
    <x v="2"/>
    <x v="5"/>
    <x v="5"/>
    <n v="9"/>
    <n v="390"/>
    <n v="20"/>
    <n v="2808"/>
    <n v="1825"/>
    <n v="983"/>
    <x v="2"/>
    <x v="4"/>
  </r>
  <r>
    <n v="10713"/>
    <x v="205"/>
    <s v="Mohit"/>
    <x v="0"/>
    <x v="0"/>
    <x v="8"/>
    <x v="3"/>
    <n v="10"/>
    <n v="550"/>
    <n v="5"/>
    <n v="5225"/>
    <n v="3814"/>
    <n v="1411"/>
    <x v="3"/>
    <x v="2"/>
  </r>
  <r>
    <n v="10714"/>
    <x v="198"/>
    <s v="Mohit"/>
    <x v="3"/>
    <x v="1"/>
    <x v="3"/>
    <x v="4"/>
    <n v="5"/>
    <n v="1950"/>
    <n v="0"/>
    <n v="9750"/>
    <n v="7702"/>
    <n v="2048"/>
    <x v="1"/>
    <x v="4"/>
  </r>
  <r>
    <n v="10715"/>
    <x v="307"/>
    <s v="Riya"/>
    <x v="2"/>
    <x v="2"/>
    <x v="9"/>
    <x v="5"/>
    <n v="11"/>
    <n v="1210"/>
    <n v="5"/>
    <n v="12644.5"/>
    <n v="10115"/>
    <n v="2529.5"/>
    <x v="2"/>
    <x v="1"/>
  </r>
  <r>
    <n v="10716"/>
    <x v="194"/>
    <s v="Neha"/>
    <x v="3"/>
    <x v="1"/>
    <x v="3"/>
    <x v="0"/>
    <n v="5"/>
    <n v="1740"/>
    <n v="20"/>
    <n v="6960"/>
    <n v="4941"/>
    <n v="2019"/>
    <x v="0"/>
    <x v="4"/>
  </r>
  <r>
    <n v="10717"/>
    <x v="268"/>
    <s v="Neha"/>
    <x v="3"/>
    <x v="1"/>
    <x v="4"/>
    <x v="3"/>
    <n v="15"/>
    <n v="1380"/>
    <n v="20"/>
    <n v="16560"/>
    <n v="10101"/>
    <n v="6459"/>
    <x v="3"/>
    <x v="0"/>
  </r>
  <r>
    <n v="10718"/>
    <x v="157"/>
    <s v="Riya"/>
    <x v="2"/>
    <x v="0"/>
    <x v="2"/>
    <x v="1"/>
    <n v="5"/>
    <n v="290"/>
    <n v="0"/>
    <n v="1450"/>
    <n v="1029"/>
    <n v="421"/>
    <x v="3"/>
    <x v="4"/>
  </r>
  <r>
    <n v="10719"/>
    <x v="188"/>
    <s v="Nikhil"/>
    <x v="3"/>
    <x v="1"/>
    <x v="13"/>
    <x v="5"/>
    <n v="8"/>
    <n v="900"/>
    <n v="15"/>
    <n v="6120"/>
    <n v="3549"/>
    <n v="2571"/>
    <x v="2"/>
    <x v="4"/>
  </r>
  <r>
    <n v="10720"/>
    <x v="381"/>
    <s v="Nikhil"/>
    <x v="2"/>
    <x v="1"/>
    <x v="13"/>
    <x v="3"/>
    <n v="12"/>
    <n v="800"/>
    <n v="10"/>
    <n v="8640"/>
    <n v="5529"/>
    <n v="3111"/>
    <x v="3"/>
    <x v="3"/>
  </r>
  <r>
    <n v="10721"/>
    <x v="107"/>
    <s v="Sneha"/>
    <x v="0"/>
    <x v="0"/>
    <x v="0"/>
    <x v="6"/>
    <n v="14"/>
    <n v="970"/>
    <n v="20"/>
    <n v="10864"/>
    <n v="7930"/>
    <n v="2934"/>
    <x v="3"/>
    <x v="1"/>
  </r>
  <r>
    <n v="10722"/>
    <x v="395"/>
    <s v="Sneha"/>
    <x v="3"/>
    <x v="1"/>
    <x v="11"/>
    <x v="2"/>
    <n v="14"/>
    <n v="1090"/>
    <n v="0"/>
    <n v="15260"/>
    <n v="8698"/>
    <n v="6562"/>
    <x v="1"/>
    <x v="1"/>
  </r>
  <r>
    <n v="10723"/>
    <x v="396"/>
    <s v="Amit"/>
    <x v="1"/>
    <x v="1"/>
    <x v="4"/>
    <x v="2"/>
    <n v="14"/>
    <n v="1930"/>
    <n v="0"/>
    <n v="27020"/>
    <n v="19454"/>
    <n v="7566"/>
    <x v="0"/>
    <x v="3"/>
  </r>
  <r>
    <n v="10724"/>
    <x v="261"/>
    <s v="Vivek"/>
    <x v="0"/>
    <x v="1"/>
    <x v="11"/>
    <x v="1"/>
    <n v="13"/>
    <n v="310"/>
    <n v="5"/>
    <n v="3828.5"/>
    <n v="2220"/>
    <n v="1608.5"/>
    <x v="2"/>
    <x v="3"/>
  </r>
  <r>
    <n v="10725"/>
    <x v="204"/>
    <s v="Vivek"/>
    <x v="3"/>
    <x v="1"/>
    <x v="13"/>
    <x v="6"/>
    <n v="12"/>
    <n v="1560"/>
    <n v="5"/>
    <n v="17784"/>
    <n v="12448"/>
    <n v="5336"/>
    <x v="3"/>
    <x v="1"/>
  </r>
  <r>
    <n v="10726"/>
    <x v="397"/>
    <s v="Sneha"/>
    <x v="2"/>
    <x v="0"/>
    <x v="8"/>
    <x v="3"/>
    <n v="10"/>
    <n v="370"/>
    <n v="5"/>
    <n v="3515"/>
    <n v="2706"/>
    <n v="809"/>
    <x v="3"/>
    <x v="2"/>
  </r>
  <r>
    <n v="10727"/>
    <x v="398"/>
    <s v="Amit"/>
    <x v="3"/>
    <x v="0"/>
    <x v="1"/>
    <x v="6"/>
    <n v="3"/>
    <n v="1560"/>
    <n v="0"/>
    <n v="4680"/>
    <n v="3931"/>
    <n v="749"/>
    <x v="2"/>
    <x v="0"/>
  </r>
  <r>
    <n v="10728"/>
    <x v="319"/>
    <s v="Mohit"/>
    <x v="3"/>
    <x v="2"/>
    <x v="5"/>
    <x v="0"/>
    <n v="9"/>
    <n v="420"/>
    <n v="10"/>
    <n v="3402"/>
    <n v="2789"/>
    <n v="613"/>
    <x v="3"/>
    <x v="0"/>
  </r>
  <r>
    <n v="10729"/>
    <x v="399"/>
    <s v="Mohit"/>
    <x v="1"/>
    <x v="0"/>
    <x v="0"/>
    <x v="5"/>
    <n v="1"/>
    <n v="1150"/>
    <n v="0"/>
    <n v="1150"/>
    <n v="701"/>
    <n v="449"/>
    <x v="0"/>
    <x v="0"/>
  </r>
  <r>
    <n v="10730"/>
    <x v="63"/>
    <s v="Nikhil"/>
    <x v="0"/>
    <x v="0"/>
    <x v="0"/>
    <x v="2"/>
    <n v="4"/>
    <n v="230"/>
    <n v="20"/>
    <n v="736"/>
    <n v="581"/>
    <n v="155"/>
    <x v="2"/>
    <x v="1"/>
  </r>
  <r>
    <n v="10731"/>
    <x v="400"/>
    <s v="Nikhil"/>
    <x v="0"/>
    <x v="1"/>
    <x v="3"/>
    <x v="2"/>
    <n v="13"/>
    <n v="340"/>
    <n v="20"/>
    <n v="3536"/>
    <n v="1980"/>
    <n v="1556"/>
    <x v="0"/>
    <x v="1"/>
  </r>
  <r>
    <n v="10732"/>
    <x v="356"/>
    <s v="Nikhil"/>
    <x v="1"/>
    <x v="2"/>
    <x v="5"/>
    <x v="4"/>
    <n v="2"/>
    <n v="840"/>
    <n v="10"/>
    <n v="1512"/>
    <n v="831"/>
    <n v="681"/>
    <x v="0"/>
    <x v="2"/>
  </r>
  <r>
    <n v="10733"/>
    <x v="401"/>
    <s v="Amit"/>
    <x v="2"/>
    <x v="1"/>
    <x v="4"/>
    <x v="4"/>
    <n v="3"/>
    <n v="1070"/>
    <n v="0"/>
    <n v="3210"/>
    <n v="2568"/>
    <n v="642"/>
    <x v="2"/>
    <x v="2"/>
  </r>
  <r>
    <n v="10735"/>
    <x v="311"/>
    <s v="Kiran"/>
    <x v="2"/>
    <x v="1"/>
    <x v="3"/>
    <x v="4"/>
    <n v="12"/>
    <n v="1090"/>
    <n v="20"/>
    <n v="10464"/>
    <n v="7743"/>
    <n v="2721"/>
    <x v="1"/>
    <x v="0"/>
  </r>
  <r>
    <n v="10736"/>
    <x v="402"/>
    <s v="Vivek"/>
    <x v="2"/>
    <x v="1"/>
    <x v="13"/>
    <x v="4"/>
    <n v="12"/>
    <n v="480"/>
    <n v="15"/>
    <n v="4896"/>
    <n v="3084"/>
    <n v="1812"/>
    <x v="1"/>
    <x v="1"/>
  </r>
  <r>
    <n v="10737"/>
    <x v="276"/>
    <s v="Amit"/>
    <x v="0"/>
    <x v="1"/>
    <x v="3"/>
    <x v="3"/>
    <n v="12"/>
    <n v="980"/>
    <n v="15"/>
    <n v="9996"/>
    <n v="8196"/>
    <n v="1800"/>
    <x v="1"/>
    <x v="3"/>
  </r>
  <r>
    <n v="10738"/>
    <x v="403"/>
    <s v="Sneha"/>
    <x v="1"/>
    <x v="1"/>
    <x v="3"/>
    <x v="4"/>
    <n v="4"/>
    <n v="1780"/>
    <n v="20"/>
    <n v="5696"/>
    <n v="4784"/>
    <n v="912"/>
    <x v="3"/>
    <x v="0"/>
  </r>
  <r>
    <n v="10739"/>
    <x v="76"/>
    <s v="Nikhil"/>
    <x v="0"/>
    <x v="2"/>
    <x v="12"/>
    <x v="4"/>
    <n v="9"/>
    <n v="1450"/>
    <n v="0"/>
    <n v="13050"/>
    <n v="8091"/>
    <n v="4959"/>
    <x v="0"/>
    <x v="2"/>
  </r>
  <r>
    <n v="10740"/>
    <x v="307"/>
    <s v="Nikhil"/>
    <x v="0"/>
    <x v="0"/>
    <x v="0"/>
    <x v="3"/>
    <n v="1"/>
    <n v="950"/>
    <n v="20"/>
    <n v="760"/>
    <n v="516"/>
    <n v="244"/>
    <x v="2"/>
    <x v="2"/>
  </r>
  <r>
    <n v="10741"/>
    <x v="107"/>
    <s v="Sara"/>
    <x v="1"/>
    <x v="2"/>
    <x v="6"/>
    <x v="0"/>
    <n v="9"/>
    <n v="1070"/>
    <n v="20"/>
    <n v="7704"/>
    <n v="6240"/>
    <n v="1464"/>
    <x v="0"/>
    <x v="4"/>
  </r>
  <r>
    <n v="10742"/>
    <x v="53"/>
    <s v="Amit"/>
    <x v="0"/>
    <x v="1"/>
    <x v="13"/>
    <x v="2"/>
    <n v="9"/>
    <n v="600"/>
    <n v="0"/>
    <n v="5400"/>
    <n v="2970"/>
    <n v="2430"/>
    <x v="1"/>
    <x v="2"/>
  </r>
  <r>
    <n v="10743"/>
    <x v="184"/>
    <s v="Kiran"/>
    <x v="3"/>
    <x v="0"/>
    <x v="10"/>
    <x v="0"/>
    <n v="3"/>
    <n v="1950"/>
    <n v="10"/>
    <n v="5265"/>
    <n v="4369"/>
    <n v="896"/>
    <x v="1"/>
    <x v="0"/>
  </r>
  <r>
    <n v="10744"/>
    <x v="262"/>
    <s v="Kiran"/>
    <x v="3"/>
    <x v="1"/>
    <x v="13"/>
    <x v="6"/>
    <n v="1"/>
    <n v="610"/>
    <n v="10"/>
    <n v="549"/>
    <n v="307"/>
    <n v="242"/>
    <x v="1"/>
    <x v="0"/>
  </r>
  <r>
    <n v="10745"/>
    <x v="71"/>
    <s v="Nikhil"/>
    <x v="2"/>
    <x v="2"/>
    <x v="6"/>
    <x v="6"/>
    <n v="13"/>
    <n v="660"/>
    <n v="0"/>
    <n v="8580"/>
    <n v="6606"/>
    <n v="1974"/>
    <x v="1"/>
    <x v="2"/>
  </r>
  <r>
    <n v="10746"/>
    <x v="18"/>
    <s v="Sneha"/>
    <x v="2"/>
    <x v="0"/>
    <x v="2"/>
    <x v="4"/>
    <n v="1"/>
    <n v="1680"/>
    <n v="15"/>
    <n v="1428"/>
    <n v="1013"/>
    <n v="415"/>
    <x v="1"/>
    <x v="4"/>
  </r>
  <r>
    <n v="10747"/>
    <x v="356"/>
    <s v="Vivek"/>
    <x v="0"/>
    <x v="2"/>
    <x v="9"/>
    <x v="5"/>
    <n v="14"/>
    <n v="1310"/>
    <n v="15"/>
    <n v="15589"/>
    <n v="9041"/>
    <n v="6548"/>
    <x v="0"/>
    <x v="2"/>
  </r>
  <r>
    <n v="10748"/>
    <x v="404"/>
    <s v="Riya"/>
    <x v="3"/>
    <x v="2"/>
    <x v="9"/>
    <x v="3"/>
    <n v="15"/>
    <n v="1450"/>
    <n v="20"/>
    <n v="17400"/>
    <n v="10266"/>
    <n v="7134"/>
    <x v="0"/>
    <x v="0"/>
  </r>
  <r>
    <n v="10749"/>
    <x v="214"/>
    <s v="Nikhil"/>
    <x v="0"/>
    <x v="2"/>
    <x v="7"/>
    <x v="4"/>
    <n v="9"/>
    <n v="930"/>
    <n v="5"/>
    <n v="7951.5"/>
    <n v="6361"/>
    <n v="1590.5"/>
    <x v="0"/>
    <x v="2"/>
  </r>
  <r>
    <n v="10750"/>
    <x v="311"/>
    <s v="Mohit"/>
    <x v="2"/>
    <x v="1"/>
    <x v="3"/>
    <x v="0"/>
    <n v="9"/>
    <n v="1800"/>
    <n v="10"/>
    <n v="14580"/>
    <n v="11080"/>
    <n v="3500"/>
    <x v="0"/>
    <x v="4"/>
  </r>
  <r>
    <n v="10751"/>
    <x v="311"/>
    <s v="Neha"/>
    <x v="2"/>
    <x v="2"/>
    <x v="7"/>
    <x v="1"/>
    <n v="11"/>
    <n v="460"/>
    <n v="20"/>
    <n v="4048"/>
    <n v="2914"/>
    <n v="1134"/>
    <x v="1"/>
    <x v="3"/>
  </r>
  <r>
    <n v="10752"/>
    <x v="405"/>
    <s v="Sara"/>
    <x v="1"/>
    <x v="0"/>
    <x v="2"/>
    <x v="6"/>
    <n v="5"/>
    <n v="1740"/>
    <n v="20"/>
    <n v="6960"/>
    <n v="4524"/>
    <n v="2436"/>
    <x v="3"/>
    <x v="0"/>
  </r>
  <r>
    <n v="10753"/>
    <x v="191"/>
    <s v="Anjali"/>
    <x v="3"/>
    <x v="1"/>
    <x v="4"/>
    <x v="4"/>
    <n v="5"/>
    <n v="1130"/>
    <n v="15"/>
    <n v="4802.5"/>
    <n v="3265"/>
    <n v="1537.5"/>
    <x v="2"/>
    <x v="3"/>
  </r>
  <r>
    <n v="10754"/>
    <x v="321"/>
    <s v="Mohit"/>
    <x v="3"/>
    <x v="2"/>
    <x v="12"/>
    <x v="2"/>
    <n v="14"/>
    <n v="740"/>
    <n v="20"/>
    <n v="8288"/>
    <n v="5552"/>
    <n v="2736"/>
    <x v="2"/>
    <x v="3"/>
  </r>
  <r>
    <n v="10755"/>
    <x v="406"/>
    <s v="Amit"/>
    <x v="0"/>
    <x v="2"/>
    <x v="5"/>
    <x v="0"/>
    <n v="5"/>
    <n v="1780"/>
    <n v="15"/>
    <n v="7565"/>
    <n v="5598"/>
    <n v="1967"/>
    <x v="0"/>
    <x v="1"/>
  </r>
  <r>
    <n v="10756"/>
    <x v="147"/>
    <s v="Sneha"/>
    <x v="2"/>
    <x v="1"/>
    <x v="13"/>
    <x v="3"/>
    <n v="9"/>
    <n v="1920"/>
    <n v="10"/>
    <n v="15552"/>
    <n v="9797"/>
    <n v="5755"/>
    <x v="1"/>
    <x v="3"/>
  </r>
  <r>
    <n v="10757"/>
    <x v="402"/>
    <s v="Sara"/>
    <x v="3"/>
    <x v="2"/>
    <x v="5"/>
    <x v="1"/>
    <n v="10"/>
    <n v="1890"/>
    <n v="20"/>
    <n v="15120"/>
    <n v="11793"/>
    <n v="3327"/>
    <x v="3"/>
    <x v="2"/>
  </r>
  <r>
    <n v="10758"/>
    <x v="374"/>
    <s v="Nikhil"/>
    <x v="1"/>
    <x v="1"/>
    <x v="3"/>
    <x v="6"/>
    <n v="3"/>
    <n v="1500"/>
    <n v="20"/>
    <n v="3600"/>
    <n v="2952"/>
    <n v="648"/>
    <x v="1"/>
    <x v="3"/>
  </r>
  <r>
    <n v="10760"/>
    <x v="204"/>
    <s v="Nikhil"/>
    <x v="1"/>
    <x v="1"/>
    <x v="13"/>
    <x v="5"/>
    <n v="1"/>
    <n v="370"/>
    <n v="5"/>
    <n v="351.5"/>
    <n v="239"/>
    <n v="112.5"/>
    <x v="2"/>
    <x v="2"/>
  </r>
  <r>
    <n v="10761"/>
    <x v="407"/>
    <s v="Anjali"/>
    <x v="2"/>
    <x v="1"/>
    <x v="11"/>
    <x v="0"/>
    <n v="7"/>
    <n v="750"/>
    <n v="15"/>
    <n v="4462.5"/>
    <n v="2588"/>
    <n v="1874.5"/>
    <x v="3"/>
    <x v="3"/>
  </r>
  <r>
    <n v="10762"/>
    <x v="291"/>
    <s v="Vivek"/>
    <x v="0"/>
    <x v="1"/>
    <x v="3"/>
    <x v="1"/>
    <n v="8"/>
    <n v="1930"/>
    <n v="10"/>
    <n v="13896"/>
    <n v="8893"/>
    <n v="5003"/>
    <x v="0"/>
    <x v="3"/>
  </r>
  <r>
    <n v="10763"/>
    <x v="14"/>
    <s v="Sara"/>
    <x v="1"/>
    <x v="2"/>
    <x v="12"/>
    <x v="4"/>
    <n v="11"/>
    <n v="530"/>
    <n v="20"/>
    <n v="4664"/>
    <n v="3358"/>
    <n v="1306"/>
    <x v="2"/>
    <x v="3"/>
  </r>
  <r>
    <n v="10765"/>
    <x v="407"/>
    <s v="Kiran"/>
    <x v="0"/>
    <x v="0"/>
    <x v="0"/>
    <x v="3"/>
    <n v="7"/>
    <n v="930"/>
    <n v="15"/>
    <n v="5533.5"/>
    <n v="3818"/>
    <n v="1715.5"/>
    <x v="0"/>
    <x v="1"/>
  </r>
  <r>
    <n v="10766"/>
    <x v="165"/>
    <s v="Sara"/>
    <x v="3"/>
    <x v="0"/>
    <x v="2"/>
    <x v="1"/>
    <n v="13"/>
    <n v="410"/>
    <n v="20"/>
    <n v="4264"/>
    <n v="3198"/>
    <n v="1066"/>
    <x v="3"/>
    <x v="4"/>
  </r>
  <r>
    <n v="10768"/>
    <x v="277"/>
    <s v="Sneha"/>
    <x v="1"/>
    <x v="0"/>
    <x v="0"/>
    <x v="2"/>
    <n v="7"/>
    <n v="1880"/>
    <n v="20"/>
    <n v="10528"/>
    <n v="8211"/>
    <n v="2317"/>
    <x v="0"/>
    <x v="3"/>
  </r>
  <r>
    <n v="10769"/>
    <x v="72"/>
    <s v="Sara"/>
    <x v="3"/>
    <x v="2"/>
    <x v="5"/>
    <x v="1"/>
    <n v="11"/>
    <n v="460"/>
    <n v="20"/>
    <n v="4048"/>
    <n v="3319"/>
    <n v="729"/>
    <x v="0"/>
    <x v="1"/>
  </r>
  <r>
    <n v="10770"/>
    <x v="408"/>
    <s v="Anjali"/>
    <x v="0"/>
    <x v="1"/>
    <x v="13"/>
    <x v="0"/>
    <n v="4"/>
    <n v="830"/>
    <n v="0"/>
    <n v="3320"/>
    <n v="2290"/>
    <n v="1030"/>
    <x v="2"/>
    <x v="4"/>
  </r>
  <r>
    <n v="10771"/>
    <x v="316"/>
    <s v="Sara"/>
    <x v="2"/>
    <x v="1"/>
    <x v="4"/>
    <x v="6"/>
    <n v="14"/>
    <n v="1860"/>
    <n v="20"/>
    <n v="20832"/>
    <n v="14582"/>
    <n v="6250"/>
    <x v="2"/>
    <x v="3"/>
  </r>
  <r>
    <n v="10772"/>
    <x v="205"/>
    <s v="Riya"/>
    <x v="2"/>
    <x v="0"/>
    <x v="0"/>
    <x v="1"/>
    <n v="3"/>
    <n v="1270"/>
    <n v="5"/>
    <n v="3619.5"/>
    <n v="2171"/>
    <n v="1448.5"/>
    <x v="1"/>
    <x v="0"/>
  </r>
  <r>
    <n v="10773"/>
    <x v="62"/>
    <s v="Riya"/>
    <x v="1"/>
    <x v="1"/>
    <x v="4"/>
    <x v="2"/>
    <n v="10"/>
    <n v="1500"/>
    <n v="20"/>
    <n v="12000"/>
    <n v="8040"/>
    <n v="3960"/>
    <x v="1"/>
    <x v="2"/>
  </r>
  <r>
    <n v="10774"/>
    <x v="143"/>
    <s v="Riya"/>
    <x v="3"/>
    <x v="2"/>
    <x v="7"/>
    <x v="6"/>
    <n v="1"/>
    <n v="1810"/>
    <n v="15"/>
    <n v="1538.5"/>
    <n v="1000"/>
    <n v="538.5"/>
    <x v="1"/>
    <x v="3"/>
  </r>
  <r>
    <n v="10775"/>
    <x v="133"/>
    <s v="Nikhil"/>
    <x v="1"/>
    <x v="0"/>
    <x v="0"/>
    <x v="5"/>
    <n v="4"/>
    <n v="1480"/>
    <n v="15"/>
    <n v="5032"/>
    <n v="3069"/>
    <n v="1963"/>
    <x v="2"/>
    <x v="1"/>
  </r>
  <r>
    <n v="10777"/>
    <x v="164"/>
    <s v="Mohit"/>
    <x v="0"/>
    <x v="2"/>
    <x v="7"/>
    <x v="0"/>
    <n v="9"/>
    <n v="390"/>
    <n v="5"/>
    <n v="3334.5"/>
    <n v="2067"/>
    <n v="1267.5"/>
    <x v="0"/>
    <x v="1"/>
  </r>
  <r>
    <n v="10778"/>
    <x v="45"/>
    <s v="Riya"/>
    <x v="3"/>
    <x v="0"/>
    <x v="1"/>
    <x v="5"/>
    <n v="4"/>
    <n v="580"/>
    <n v="10"/>
    <n v="2088"/>
    <n v="1169"/>
    <n v="919"/>
    <x v="3"/>
    <x v="0"/>
  </r>
  <r>
    <n v="10779"/>
    <x v="409"/>
    <s v="Vivek"/>
    <x v="0"/>
    <x v="2"/>
    <x v="6"/>
    <x v="3"/>
    <n v="12"/>
    <n v="1820"/>
    <n v="5"/>
    <n v="20748"/>
    <n v="13486"/>
    <n v="7262"/>
    <x v="1"/>
    <x v="2"/>
  </r>
  <r>
    <n v="10780"/>
    <x v="255"/>
    <s v="Amit"/>
    <x v="3"/>
    <x v="0"/>
    <x v="2"/>
    <x v="3"/>
    <n v="1"/>
    <n v="790"/>
    <n v="20"/>
    <n v="632"/>
    <n v="499"/>
    <n v="133"/>
    <x v="3"/>
    <x v="1"/>
  </r>
  <r>
    <n v="10781"/>
    <x v="250"/>
    <s v="Anjali"/>
    <x v="2"/>
    <x v="1"/>
    <x v="4"/>
    <x v="1"/>
    <n v="9"/>
    <n v="1080"/>
    <n v="5"/>
    <n v="9234"/>
    <n v="5909"/>
    <n v="3325"/>
    <x v="0"/>
    <x v="4"/>
  </r>
  <r>
    <n v="10782"/>
    <x v="353"/>
    <s v="Mohit"/>
    <x v="1"/>
    <x v="1"/>
    <x v="11"/>
    <x v="3"/>
    <n v="9"/>
    <n v="1340"/>
    <n v="10"/>
    <n v="10854"/>
    <n v="7380"/>
    <n v="3474"/>
    <x v="0"/>
    <x v="1"/>
  </r>
  <r>
    <n v="10783"/>
    <x v="410"/>
    <s v="Neha"/>
    <x v="3"/>
    <x v="1"/>
    <x v="13"/>
    <x v="3"/>
    <n v="10"/>
    <n v="1010"/>
    <n v="15"/>
    <n v="8585"/>
    <n v="6267"/>
    <n v="2318"/>
    <x v="3"/>
    <x v="3"/>
  </r>
  <r>
    <n v="10784"/>
    <x v="133"/>
    <s v="Mohit"/>
    <x v="3"/>
    <x v="0"/>
    <x v="1"/>
    <x v="1"/>
    <n v="5"/>
    <n v="510"/>
    <n v="15"/>
    <n v="2167.5"/>
    <n v="1343"/>
    <n v="824.5"/>
    <x v="1"/>
    <x v="1"/>
  </r>
  <r>
    <n v="10785"/>
    <x v="411"/>
    <s v="Sara"/>
    <x v="1"/>
    <x v="1"/>
    <x v="13"/>
    <x v="6"/>
    <n v="15"/>
    <n v="260"/>
    <n v="15"/>
    <n v="3315"/>
    <n v="2121"/>
    <n v="1194"/>
    <x v="2"/>
    <x v="4"/>
  </r>
  <r>
    <n v="10786"/>
    <x v="176"/>
    <s v="Sara"/>
    <x v="2"/>
    <x v="0"/>
    <x v="8"/>
    <x v="3"/>
    <n v="12"/>
    <n v="640"/>
    <n v="15"/>
    <n v="6528"/>
    <n v="4308"/>
    <n v="2220"/>
    <x v="3"/>
    <x v="0"/>
  </r>
  <r>
    <n v="10787"/>
    <x v="211"/>
    <s v="Amit"/>
    <x v="0"/>
    <x v="0"/>
    <x v="10"/>
    <x v="1"/>
    <n v="4"/>
    <n v="590"/>
    <n v="5"/>
    <n v="2242"/>
    <n v="1726"/>
    <n v="516"/>
    <x v="1"/>
    <x v="4"/>
  </r>
  <r>
    <n v="10788"/>
    <x v="379"/>
    <s v="Vivek"/>
    <x v="3"/>
    <x v="1"/>
    <x v="3"/>
    <x v="4"/>
    <n v="3"/>
    <n v="560"/>
    <n v="15"/>
    <n v="1428"/>
    <n v="813"/>
    <n v="615"/>
    <x v="2"/>
    <x v="0"/>
  </r>
  <r>
    <n v="10789"/>
    <x v="273"/>
    <s v="Riya"/>
    <x v="2"/>
    <x v="2"/>
    <x v="12"/>
    <x v="0"/>
    <n v="1"/>
    <n v="860"/>
    <n v="5"/>
    <n v="817"/>
    <n v="669"/>
    <n v="148"/>
    <x v="1"/>
    <x v="2"/>
  </r>
  <r>
    <n v="10790"/>
    <x v="412"/>
    <s v="Mohit"/>
    <x v="0"/>
    <x v="2"/>
    <x v="9"/>
    <x v="6"/>
    <n v="7"/>
    <n v="380"/>
    <n v="20"/>
    <n v="2128"/>
    <n v="1340"/>
    <n v="788"/>
    <x v="3"/>
    <x v="1"/>
  </r>
  <r>
    <n v="10791"/>
    <x v="156"/>
    <s v="Sara"/>
    <x v="2"/>
    <x v="2"/>
    <x v="12"/>
    <x v="0"/>
    <n v="2"/>
    <n v="1480"/>
    <n v="15"/>
    <n v="2516"/>
    <n v="1786"/>
    <n v="730"/>
    <x v="3"/>
    <x v="4"/>
  </r>
  <r>
    <n v="10793"/>
    <x v="204"/>
    <s v="Neha"/>
    <x v="1"/>
    <x v="0"/>
    <x v="0"/>
    <x v="3"/>
    <n v="1"/>
    <n v="1050"/>
    <n v="10"/>
    <n v="945"/>
    <n v="595"/>
    <n v="350"/>
    <x v="0"/>
    <x v="4"/>
  </r>
  <r>
    <n v="10795"/>
    <x v="176"/>
    <s v="Mohit"/>
    <x v="2"/>
    <x v="2"/>
    <x v="7"/>
    <x v="2"/>
    <n v="5"/>
    <n v="530"/>
    <n v="15"/>
    <n v="2252.5"/>
    <n v="1419"/>
    <n v="833.5"/>
    <x v="2"/>
    <x v="0"/>
  </r>
  <r>
    <n v="10796"/>
    <x v="66"/>
    <s v="Mohit"/>
    <x v="1"/>
    <x v="1"/>
    <x v="3"/>
    <x v="0"/>
    <n v="9"/>
    <n v="1860"/>
    <n v="0"/>
    <n v="16740"/>
    <n v="12052"/>
    <n v="4688"/>
    <x v="0"/>
    <x v="0"/>
  </r>
  <r>
    <n v="10797"/>
    <x v="99"/>
    <s v="Sara"/>
    <x v="2"/>
    <x v="0"/>
    <x v="1"/>
    <x v="3"/>
    <n v="3"/>
    <n v="550"/>
    <n v="10"/>
    <n v="1485"/>
    <n v="994"/>
    <n v="491"/>
    <x v="3"/>
    <x v="1"/>
  </r>
  <r>
    <n v="10798"/>
    <x v="413"/>
    <s v="Anjali"/>
    <x v="2"/>
    <x v="2"/>
    <x v="9"/>
    <x v="5"/>
    <n v="6"/>
    <n v="1420"/>
    <n v="15"/>
    <n v="7242"/>
    <n v="5431"/>
    <n v="1811"/>
    <x v="3"/>
    <x v="1"/>
  </r>
  <r>
    <n v="10799"/>
    <x v="414"/>
    <s v="Riya"/>
    <x v="0"/>
    <x v="0"/>
    <x v="2"/>
    <x v="1"/>
    <n v="15"/>
    <n v="620"/>
    <n v="0"/>
    <n v="9300"/>
    <n v="7533"/>
    <n v="1767"/>
    <x v="1"/>
    <x v="3"/>
  </r>
  <r>
    <n v="10800"/>
    <x v="87"/>
    <s v="Nikhil"/>
    <x v="3"/>
    <x v="0"/>
    <x v="10"/>
    <x v="1"/>
    <n v="9"/>
    <n v="350"/>
    <n v="10"/>
    <n v="2835"/>
    <n v="1672"/>
    <n v="1163"/>
    <x v="0"/>
    <x v="1"/>
  </r>
  <r>
    <n v="10801"/>
    <x v="415"/>
    <s v="Anjali"/>
    <x v="2"/>
    <x v="0"/>
    <x v="0"/>
    <x v="1"/>
    <n v="5"/>
    <n v="1890"/>
    <n v="10"/>
    <n v="8505"/>
    <n v="7059"/>
    <n v="1446"/>
    <x v="2"/>
    <x v="4"/>
  </r>
  <r>
    <n v="10802"/>
    <x v="396"/>
    <s v="Mohit"/>
    <x v="3"/>
    <x v="1"/>
    <x v="4"/>
    <x v="5"/>
    <n v="11"/>
    <n v="430"/>
    <n v="10"/>
    <n v="4257"/>
    <n v="2724"/>
    <n v="1533"/>
    <x v="3"/>
    <x v="3"/>
  </r>
  <r>
    <n v="10803"/>
    <x v="410"/>
    <s v="Riya"/>
    <x v="3"/>
    <x v="2"/>
    <x v="7"/>
    <x v="2"/>
    <n v="1"/>
    <n v="470"/>
    <n v="0"/>
    <n v="470"/>
    <n v="329"/>
    <n v="141"/>
    <x v="0"/>
    <x v="4"/>
  </r>
  <r>
    <n v="10804"/>
    <x v="93"/>
    <s v="Sara"/>
    <x v="0"/>
    <x v="2"/>
    <x v="6"/>
    <x v="5"/>
    <n v="13"/>
    <n v="490"/>
    <n v="15"/>
    <n v="5414.5"/>
    <n v="3032"/>
    <n v="2382.5"/>
    <x v="3"/>
    <x v="2"/>
  </r>
  <r>
    <n v="10805"/>
    <x v="416"/>
    <s v="Sara"/>
    <x v="1"/>
    <x v="2"/>
    <x v="9"/>
    <x v="1"/>
    <n v="9"/>
    <n v="1870"/>
    <n v="0"/>
    <n v="16830"/>
    <n v="9256"/>
    <n v="7574"/>
    <x v="3"/>
    <x v="4"/>
  </r>
  <r>
    <n v="10806"/>
    <x v="55"/>
    <s v="Nikhil"/>
    <x v="2"/>
    <x v="2"/>
    <x v="5"/>
    <x v="0"/>
    <n v="9"/>
    <n v="1970"/>
    <n v="15"/>
    <n v="15070.5"/>
    <n v="12809"/>
    <n v="2261.5"/>
    <x v="2"/>
    <x v="0"/>
  </r>
  <r>
    <n v="10807"/>
    <x v="2"/>
    <s v="Neha"/>
    <x v="2"/>
    <x v="1"/>
    <x v="3"/>
    <x v="3"/>
    <n v="14"/>
    <n v="1610"/>
    <n v="20"/>
    <n v="18032"/>
    <n v="10278"/>
    <n v="7754"/>
    <x v="0"/>
    <x v="3"/>
  </r>
  <r>
    <n v="10808"/>
    <x v="116"/>
    <s v="Vivek"/>
    <x v="0"/>
    <x v="1"/>
    <x v="4"/>
    <x v="0"/>
    <n v="11"/>
    <n v="1690"/>
    <n v="20"/>
    <n v="14872"/>
    <n v="10261"/>
    <n v="4611"/>
    <x v="2"/>
    <x v="1"/>
  </r>
  <r>
    <n v="10809"/>
    <x v="55"/>
    <s v="Sara"/>
    <x v="0"/>
    <x v="0"/>
    <x v="2"/>
    <x v="5"/>
    <n v="2"/>
    <n v="1810"/>
    <n v="10"/>
    <n v="3258"/>
    <n v="2280"/>
    <n v="978"/>
    <x v="0"/>
    <x v="0"/>
  </r>
  <r>
    <n v="10810"/>
    <x v="59"/>
    <s v="Nikhil"/>
    <x v="0"/>
    <x v="0"/>
    <x v="2"/>
    <x v="0"/>
    <n v="10"/>
    <n v="940"/>
    <n v="10"/>
    <n v="8460"/>
    <n v="4906"/>
    <n v="3554"/>
    <x v="0"/>
    <x v="2"/>
  </r>
  <r>
    <n v="10812"/>
    <x v="183"/>
    <s v="Neha"/>
    <x v="3"/>
    <x v="2"/>
    <x v="7"/>
    <x v="6"/>
    <n v="14"/>
    <n v="570"/>
    <n v="10"/>
    <n v="7182"/>
    <n v="5099"/>
    <n v="2083"/>
    <x v="2"/>
    <x v="1"/>
  </r>
  <r>
    <n v="10813"/>
    <x v="168"/>
    <s v="Anjali"/>
    <x v="3"/>
    <x v="0"/>
    <x v="10"/>
    <x v="3"/>
    <n v="5"/>
    <n v="1720"/>
    <n v="10"/>
    <n v="7740"/>
    <n v="5495"/>
    <n v="2245"/>
    <x v="0"/>
    <x v="2"/>
  </r>
  <r>
    <n v="10814"/>
    <x v="365"/>
    <s v="Amit"/>
    <x v="2"/>
    <x v="1"/>
    <x v="13"/>
    <x v="4"/>
    <n v="6"/>
    <n v="480"/>
    <n v="5"/>
    <n v="2736"/>
    <n v="1504"/>
    <n v="1232"/>
    <x v="3"/>
    <x v="2"/>
  </r>
  <r>
    <n v="10815"/>
    <x v="272"/>
    <s v="Mohit"/>
    <x v="0"/>
    <x v="0"/>
    <x v="2"/>
    <x v="3"/>
    <n v="6"/>
    <n v="720"/>
    <n v="20"/>
    <n v="3456"/>
    <n v="2246"/>
    <n v="1210"/>
    <x v="0"/>
    <x v="4"/>
  </r>
  <r>
    <n v="10816"/>
    <x v="23"/>
    <s v="Kiran"/>
    <x v="0"/>
    <x v="0"/>
    <x v="1"/>
    <x v="1"/>
    <n v="12"/>
    <n v="1120"/>
    <n v="20"/>
    <n v="10752"/>
    <n v="8171"/>
    <n v="2581"/>
    <x v="0"/>
    <x v="3"/>
  </r>
  <r>
    <n v="10818"/>
    <x v="363"/>
    <s v="Sara"/>
    <x v="1"/>
    <x v="1"/>
    <x v="3"/>
    <x v="0"/>
    <n v="13"/>
    <n v="1840"/>
    <n v="5"/>
    <n v="22724"/>
    <n v="17043"/>
    <n v="5681"/>
    <x v="0"/>
    <x v="3"/>
  </r>
  <r>
    <n v="10819"/>
    <x v="343"/>
    <s v="Anjali"/>
    <x v="0"/>
    <x v="2"/>
    <x v="6"/>
    <x v="1"/>
    <n v="13"/>
    <n v="1880"/>
    <n v="10"/>
    <n v="21996"/>
    <n v="13417"/>
    <n v="8579"/>
    <x v="1"/>
    <x v="1"/>
  </r>
  <r>
    <n v="10820"/>
    <x v="417"/>
    <s v="Sneha"/>
    <x v="0"/>
    <x v="1"/>
    <x v="4"/>
    <x v="3"/>
    <n v="4"/>
    <n v="1690"/>
    <n v="5"/>
    <n v="6422"/>
    <n v="4495"/>
    <n v="1927"/>
    <x v="0"/>
    <x v="0"/>
  </r>
  <r>
    <n v="10821"/>
    <x v="418"/>
    <s v="Nikhil"/>
    <x v="2"/>
    <x v="2"/>
    <x v="7"/>
    <x v="5"/>
    <n v="11"/>
    <n v="590"/>
    <n v="10"/>
    <n v="5841"/>
    <n v="4322"/>
    <n v="1519"/>
    <x v="3"/>
    <x v="2"/>
  </r>
  <r>
    <n v="10822"/>
    <x v="414"/>
    <s v="Neha"/>
    <x v="3"/>
    <x v="2"/>
    <x v="7"/>
    <x v="1"/>
    <n v="13"/>
    <n v="1830"/>
    <n v="20"/>
    <n v="19032"/>
    <n v="14464"/>
    <n v="4568"/>
    <x v="1"/>
    <x v="2"/>
  </r>
  <r>
    <n v="10823"/>
    <x v="258"/>
    <s v="Mohit"/>
    <x v="1"/>
    <x v="0"/>
    <x v="1"/>
    <x v="1"/>
    <n v="13"/>
    <n v="2000"/>
    <n v="15"/>
    <n v="22100"/>
    <n v="13260"/>
    <n v="8840"/>
    <x v="1"/>
    <x v="3"/>
  </r>
  <r>
    <n v="10824"/>
    <x v="209"/>
    <s v="Mohit"/>
    <x v="0"/>
    <x v="0"/>
    <x v="10"/>
    <x v="6"/>
    <n v="10"/>
    <n v="930"/>
    <n v="5"/>
    <n v="8835"/>
    <n v="6802"/>
    <n v="2033"/>
    <x v="3"/>
    <x v="2"/>
  </r>
  <r>
    <n v="10825"/>
    <x v="153"/>
    <s v="Riya"/>
    <x v="2"/>
    <x v="1"/>
    <x v="4"/>
    <x v="2"/>
    <n v="11"/>
    <n v="870"/>
    <n v="10"/>
    <n v="8613"/>
    <n v="5856"/>
    <n v="2757"/>
    <x v="1"/>
    <x v="4"/>
  </r>
  <r>
    <n v="10826"/>
    <x v="179"/>
    <s v="Sneha"/>
    <x v="1"/>
    <x v="1"/>
    <x v="4"/>
    <x v="0"/>
    <n v="11"/>
    <n v="550"/>
    <n v="10"/>
    <n v="5445"/>
    <n v="3484"/>
    <n v="1961"/>
    <x v="0"/>
    <x v="0"/>
  </r>
  <r>
    <n v="10828"/>
    <x v="175"/>
    <s v="Sara"/>
    <x v="0"/>
    <x v="1"/>
    <x v="13"/>
    <x v="5"/>
    <n v="11"/>
    <n v="260"/>
    <n v="20"/>
    <n v="2288"/>
    <n v="1738"/>
    <n v="550"/>
    <x v="1"/>
    <x v="2"/>
  </r>
  <r>
    <n v="10829"/>
    <x v="419"/>
    <s v="Vivek"/>
    <x v="2"/>
    <x v="0"/>
    <x v="8"/>
    <x v="3"/>
    <n v="15"/>
    <n v="530"/>
    <n v="0"/>
    <n v="7950"/>
    <n v="6360"/>
    <n v="1590"/>
    <x v="2"/>
    <x v="2"/>
  </r>
  <r>
    <n v="10831"/>
    <x v="178"/>
    <s v="Riya"/>
    <x v="0"/>
    <x v="1"/>
    <x v="13"/>
    <x v="6"/>
    <n v="9"/>
    <n v="1680"/>
    <n v="5"/>
    <n v="14364"/>
    <n v="10054"/>
    <n v="4310"/>
    <x v="3"/>
    <x v="0"/>
  </r>
  <r>
    <n v="10832"/>
    <x v="420"/>
    <s v="Neha"/>
    <x v="0"/>
    <x v="0"/>
    <x v="2"/>
    <x v="6"/>
    <n v="11"/>
    <n v="1750"/>
    <n v="10"/>
    <n v="17325"/>
    <n v="14379"/>
    <n v="2946"/>
    <x v="0"/>
    <x v="1"/>
  </r>
  <r>
    <n v="10833"/>
    <x v="419"/>
    <s v="Riya"/>
    <x v="0"/>
    <x v="2"/>
    <x v="5"/>
    <x v="2"/>
    <n v="4"/>
    <n v="870"/>
    <n v="10"/>
    <n v="3132"/>
    <n v="2004"/>
    <n v="1128"/>
    <x v="0"/>
    <x v="0"/>
  </r>
  <r>
    <n v="10835"/>
    <x v="218"/>
    <s v="Kiran"/>
    <x v="2"/>
    <x v="1"/>
    <x v="4"/>
    <x v="0"/>
    <n v="9"/>
    <n v="1430"/>
    <n v="15"/>
    <n v="10939.5"/>
    <n v="6016"/>
    <n v="4923.5"/>
    <x v="3"/>
    <x v="0"/>
  </r>
  <r>
    <n v="10836"/>
    <x v="176"/>
    <s v="Vivek"/>
    <x v="0"/>
    <x v="1"/>
    <x v="13"/>
    <x v="2"/>
    <n v="15"/>
    <n v="990"/>
    <n v="10"/>
    <n v="13365"/>
    <n v="8553"/>
    <n v="4812"/>
    <x v="1"/>
    <x v="1"/>
  </r>
  <r>
    <n v="10837"/>
    <x v="123"/>
    <s v="Neha"/>
    <x v="1"/>
    <x v="1"/>
    <x v="4"/>
    <x v="1"/>
    <n v="9"/>
    <n v="600"/>
    <n v="5"/>
    <n v="5130"/>
    <n v="4309"/>
    <n v="821"/>
    <x v="0"/>
    <x v="0"/>
  </r>
  <r>
    <n v="10839"/>
    <x v="421"/>
    <s v="Sneha"/>
    <x v="3"/>
    <x v="1"/>
    <x v="3"/>
    <x v="1"/>
    <n v="12"/>
    <n v="1330"/>
    <n v="10"/>
    <n v="14364"/>
    <n v="9336"/>
    <n v="5028"/>
    <x v="1"/>
    <x v="4"/>
  </r>
  <r>
    <n v="10840"/>
    <x v="123"/>
    <s v="Vivek"/>
    <x v="3"/>
    <x v="0"/>
    <x v="10"/>
    <x v="1"/>
    <n v="4"/>
    <n v="1630"/>
    <n v="5"/>
    <n v="6194"/>
    <n v="4026"/>
    <n v="2168"/>
    <x v="3"/>
    <x v="0"/>
  </r>
  <r>
    <n v="10841"/>
    <x v="130"/>
    <s v="Vivek"/>
    <x v="3"/>
    <x v="1"/>
    <x v="11"/>
    <x v="2"/>
    <n v="2"/>
    <n v="440"/>
    <n v="10"/>
    <n v="792"/>
    <n v="459"/>
    <n v="333"/>
    <x v="3"/>
    <x v="2"/>
  </r>
  <r>
    <n v="10842"/>
    <x v="13"/>
    <s v="Vivek"/>
    <x v="1"/>
    <x v="1"/>
    <x v="13"/>
    <x v="5"/>
    <n v="11"/>
    <n v="780"/>
    <n v="20"/>
    <n v="6864"/>
    <n v="5216"/>
    <n v="1648"/>
    <x v="3"/>
    <x v="1"/>
  </r>
  <r>
    <n v="10843"/>
    <x v="329"/>
    <s v="Neha"/>
    <x v="3"/>
    <x v="1"/>
    <x v="3"/>
    <x v="6"/>
    <n v="15"/>
    <n v="730"/>
    <n v="0"/>
    <n v="10950"/>
    <n v="8212"/>
    <n v="2738"/>
    <x v="1"/>
    <x v="0"/>
  </r>
  <r>
    <n v="10844"/>
    <x v="422"/>
    <s v="Amit"/>
    <x v="0"/>
    <x v="0"/>
    <x v="8"/>
    <x v="5"/>
    <n v="6"/>
    <n v="1690"/>
    <n v="10"/>
    <n v="9126"/>
    <n v="7665"/>
    <n v="1461"/>
    <x v="3"/>
    <x v="4"/>
  </r>
  <r>
    <n v="10845"/>
    <x v="409"/>
    <s v="Anjali"/>
    <x v="0"/>
    <x v="0"/>
    <x v="8"/>
    <x v="1"/>
    <n v="14"/>
    <n v="780"/>
    <n v="10"/>
    <n v="9828"/>
    <n v="6191"/>
    <n v="3637"/>
    <x v="2"/>
    <x v="3"/>
  </r>
  <r>
    <n v="10846"/>
    <x v="423"/>
    <s v="Amit"/>
    <x v="0"/>
    <x v="1"/>
    <x v="4"/>
    <x v="1"/>
    <n v="8"/>
    <n v="730"/>
    <n v="20"/>
    <n v="4672"/>
    <n v="3877"/>
    <n v="795"/>
    <x v="3"/>
    <x v="4"/>
  </r>
  <r>
    <n v="10847"/>
    <x v="129"/>
    <s v="Kiran"/>
    <x v="1"/>
    <x v="2"/>
    <x v="9"/>
    <x v="5"/>
    <n v="13"/>
    <n v="1160"/>
    <n v="10"/>
    <n v="13572"/>
    <n v="8957"/>
    <n v="4615"/>
    <x v="0"/>
    <x v="2"/>
  </r>
  <r>
    <n v="10848"/>
    <x v="215"/>
    <s v="Kiran"/>
    <x v="1"/>
    <x v="0"/>
    <x v="0"/>
    <x v="6"/>
    <n v="13"/>
    <n v="1620"/>
    <n v="10"/>
    <n v="18954"/>
    <n v="11182"/>
    <n v="7772"/>
    <x v="0"/>
    <x v="2"/>
  </r>
  <r>
    <n v="10849"/>
    <x v="112"/>
    <s v="Riya"/>
    <x v="0"/>
    <x v="1"/>
    <x v="3"/>
    <x v="1"/>
    <n v="9"/>
    <n v="480"/>
    <n v="5"/>
    <n v="4104"/>
    <n v="2913"/>
    <n v="1191"/>
    <x v="2"/>
    <x v="0"/>
  </r>
  <r>
    <n v="10850"/>
    <x v="357"/>
    <s v="Nikhil"/>
    <x v="0"/>
    <x v="2"/>
    <x v="6"/>
    <x v="0"/>
    <n v="5"/>
    <n v="1490"/>
    <n v="0"/>
    <n v="7450"/>
    <n v="4246"/>
    <n v="3204"/>
    <x v="2"/>
    <x v="3"/>
  </r>
  <r>
    <n v="10851"/>
    <x v="379"/>
    <s v="Kiran"/>
    <x v="0"/>
    <x v="0"/>
    <x v="8"/>
    <x v="5"/>
    <n v="11"/>
    <n v="810"/>
    <n v="10"/>
    <n v="8019"/>
    <n v="6575"/>
    <n v="1444"/>
    <x v="2"/>
    <x v="1"/>
  </r>
  <r>
    <n v="10852"/>
    <x v="67"/>
    <s v="Riya"/>
    <x v="0"/>
    <x v="2"/>
    <x v="9"/>
    <x v="4"/>
    <n v="5"/>
    <n v="1790"/>
    <n v="20"/>
    <n v="7160"/>
    <n v="5799"/>
    <n v="1361"/>
    <x v="3"/>
    <x v="3"/>
  </r>
  <r>
    <n v="10853"/>
    <x v="423"/>
    <s v="Sara"/>
    <x v="2"/>
    <x v="0"/>
    <x v="1"/>
    <x v="1"/>
    <n v="15"/>
    <n v="490"/>
    <n v="10"/>
    <n v="6615"/>
    <n v="3638"/>
    <n v="2977"/>
    <x v="2"/>
    <x v="4"/>
  </r>
  <r>
    <n v="10854"/>
    <x v="155"/>
    <s v="Nikhil"/>
    <x v="3"/>
    <x v="0"/>
    <x v="10"/>
    <x v="3"/>
    <n v="12"/>
    <n v="1490"/>
    <n v="15"/>
    <n v="15198"/>
    <n v="11550"/>
    <n v="3648"/>
    <x v="2"/>
    <x v="3"/>
  </r>
  <r>
    <n v="10855"/>
    <x v="147"/>
    <s v="Amit"/>
    <x v="3"/>
    <x v="1"/>
    <x v="11"/>
    <x v="2"/>
    <n v="13"/>
    <n v="1810"/>
    <n v="5"/>
    <n v="22353.5"/>
    <n v="15647"/>
    <n v="6706.5"/>
    <x v="3"/>
    <x v="4"/>
  </r>
  <r>
    <n v="10856"/>
    <x v="326"/>
    <s v="Riya"/>
    <x v="2"/>
    <x v="0"/>
    <x v="2"/>
    <x v="4"/>
    <n v="5"/>
    <n v="840"/>
    <n v="10"/>
    <n v="3780"/>
    <n v="3061"/>
    <n v="719"/>
    <x v="3"/>
    <x v="3"/>
  </r>
  <r>
    <n v="10857"/>
    <x v="119"/>
    <s v="Vivek"/>
    <x v="2"/>
    <x v="1"/>
    <x v="13"/>
    <x v="1"/>
    <n v="15"/>
    <n v="1330"/>
    <n v="10"/>
    <n v="17955"/>
    <n v="11311"/>
    <n v="6644"/>
    <x v="1"/>
    <x v="2"/>
  </r>
  <r>
    <n v="10858"/>
    <x v="356"/>
    <s v="Amit"/>
    <x v="3"/>
    <x v="1"/>
    <x v="4"/>
    <x v="1"/>
    <n v="7"/>
    <n v="340"/>
    <n v="15"/>
    <n v="2023"/>
    <n v="1719"/>
    <n v="304"/>
    <x v="1"/>
    <x v="4"/>
  </r>
  <r>
    <n v="10859"/>
    <x v="402"/>
    <s v="Kiran"/>
    <x v="1"/>
    <x v="2"/>
    <x v="9"/>
    <x v="0"/>
    <n v="14"/>
    <n v="1920"/>
    <n v="0"/>
    <n v="26880"/>
    <n v="18547"/>
    <n v="8333"/>
    <x v="3"/>
    <x v="3"/>
  </r>
  <r>
    <n v="10860"/>
    <x v="370"/>
    <s v="Kiran"/>
    <x v="3"/>
    <x v="0"/>
    <x v="8"/>
    <x v="3"/>
    <n v="12"/>
    <n v="550"/>
    <n v="10"/>
    <n v="5940"/>
    <n v="4692"/>
    <n v="1248"/>
    <x v="1"/>
    <x v="4"/>
  </r>
  <r>
    <n v="10861"/>
    <x v="324"/>
    <s v="Neha"/>
    <x v="0"/>
    <x v="0"/>
    <x v="1"/>
    <x v="1"/>
    <n v="9"/>
    <n v="720"/>
    <n v="10"/>
    <n v="5832"/>
    <n v="3965"/>
    <n v="1867"/>
    <x v="3"/>
    <x v="0"/>
  </r>
  <r>
    <n v="10862"/>
    <x v="243"/>
    <s v="Neha"/>
    <x v="3"/>
    <x v="0"/>
    <x v="8"/>
    <x v="3"/>
    <n v="7"/>
    <n v="480"/>
    <n v="15"/>
    <n v="2856"/>
    <n v="2227"/>
    <n v="629"/>
    <x v="0"/>
    <x v="2"/>
  </r>
  <r>
    <n v="10863"/>
    <x v="390"/>
    <s v="Neha"/>
    <x v="3"/>
    <x v="2"/>
    <x v="9"/>
    <x v="3"/>
    <n v="1"/>
    <n v="450"/>
    <n v="0"/>
    <n v="450"/>
    <n v="324"/>
    <n v="126"/>
    <x v="1"/>
    <x v="4"/>
  </r>
  <r>
    <n v="10864"/>
    <x v="344"/>
    <s v="Sneha"/>
    <x v="2"/>
    <x v="0"/>
    <x v="0"/>
    <x v="1"/>
    <n v="5"/>
    <n v="370"/>
    <n v="0"/>
    <n v="1850"/>
    <n v="1461"/>
    <n v="389"/>
    <x v="1"/>
    <x v="2"/>
  </r>
  <r>
    <n v="10865"/>
    <x v="424"/>
    <s v="Mohit"/>
    <x v="3"/>
    <x v="2"/>
    <x v="5"/>
    <x v="4"/>
    <n v="2"/>
    <n v="1880"/>
    <n v="20"/>
    <n v="3008"/>
    <n v="1804"/>
    <n v="1204"/>
    <x v="1"/>
    <x v="4"/>
  </r>
  <r>
    <n v="10866"/>
    <x v="23"/>
    <s v="Vivek"/>
    <x v="1"/>
    <x v="2"/>
    <x v="5"/>
    <x v="6"/>
    <n v="5"/>
    <n v="730"/>
    <n v="0"/>
    <n v="3650"/>
    <n v="2664"/>
    <n v="986"/>
    <x v="3"/>
    <x v="2"/>
  </r>
  <r>
    <n v="10867"/>
    <x v="22"/>
    <s v="Amit"/>
    <x v="1"/>
    <x v="2"/>
    <x v="9"/>
    <x v="0"/>
    <n v="3"/>
    <n v="1100"/>
    <n v="5"/>
    <n v="3135"/>
    <n v="2445"/>
    <n v="690"/>
    <x v="0"/>
    <x v="1"/>
  </r>
  <r>
    <n v="10868"/>
    <x v="155"/>
    <s v="Mohit"/>
    <x v="3"/>
    <x v="1"/>
    <x v="11"/>
    <x v="1"/>
    <n v="15"/>
    <n v="1290"/>
    <n v="5"/>
    <n v="18382.5"/>
    <n v="12500"/>
    <n v="5882.5"/>
    <x v="3"/>
    <x v="4"/>
  </r>
  <r>
    <n v="10870"/>
    <x v="13"/>
    <s v="Anjali"/>
    <x v="0"/>
    <x v="0"/>
    <x v="10"/>
    <x v="4"/>
    <n v="12"/>
    <n v="1970"/>
    <n v="10"/>
    <n v="21276"/>
    <n v="14042"/>
    <n v="7234"/>
    <x v="0"/>
    <x v="1"/>
  </r>
  <r>
    <n v="10871"/>
    <x v="425"/>
    <s v="Amit"/>
    <x v="3"/>
    <x v="2"/>
    <x v="6"/>
    <x v="5"/>
    <n v="8"/>
    <n v="1080"/>
    <n v="20"/>
    <n v="6912"/>
    <n v="5391"/>
    <n v="1521"/>
    <x v="0"/>
    <x v="4"/>
  </r>
  <r>
    <n v="10872"/>
    <x v="242"/>
    <s v="Sneha"/>
    <x v="3"/>
    <x v="1"/>
    <x v="11"/>
    <x v="4"/>
    <n v="5"/>
    <n v="370"/>
    <n v="20"/>
    <n v="1480"/>
    <n v="1065"/>
    <n v="415"/>
    <x v="1"/>
    <x v="3"/>
  </r>
  <r>
    <n v="10873"/>
    <x v="48"/>
    <s v="Neha"/>
    <x v="0"/>
    <x v="2"/>
    <x v="5"/>
    <x v="6"/>
    <n v="15"/>
    <n v="1080"/>
    <n v="10"/>
    <n v="14580"/>
    <n v="8019"/>
    <n v="6561"/>
    <x v="3"/>
    <x v="0"/>
  </r>
  <r>
    <n v="10874"/>
    <x v="356"/>
    <s v="Amit"/>
    <x v="3"/>
    <x v="1"/>
    <x v="4"/>
    <x v="5"/>
    <n v="6"/>
    <n v="510"/>
    <n v="20"/>
    <n v="2448"/>
    <n v="1444"/>
    <n v="1004"/>
    <x v="3"/>
    <x v="1"/>
  </r>
  <r>
    <n v="10875"/>
    <x v="130"/>
    <s v="Sara"/>
    <x v="0"/>
    <x v="0"/>
    <x v="1"/>
    <x v="3"/>
    <n v="12"/>
    <n v="1080"/>
    <n v="20"/>
    <n v="10368"/>
    <n v="6220"/>
    <n v="4148"/>
    <x v="2"/>
    <x v="2"/>
  </r>
  <r>
    <n v="10876"/>
    <x v="295"/>
    <s v="Vivek"/>
    <x v="0"/>
    <x v="0"/>
    <x v="1"/>
    <x v="0"/>
    <n v="12"/>
    <n v="250"/>
    <n v="0"/>
    <n v="3000"/>
    <n v="2070"/>
    <n v="930"/>
    <x v="3"/>
    <x v="2"/>
  </r>
  <r>
    <n v="10877"/>
    <x v="426"/>
    <s v="Kiran"/>
    <x v="0"/>
    <x v="2"/>
    <x v="6"/>
    <x v="6"/>
    <n v="13"/>
    <n v="1360"/>
    <n v="5"/>
    <n v="16796"/>
    <n v="9237"/>
    <n v="7559"/>
    <x v="3"/>
    <x v="0"/>
  </r>
  <r>
    <n v="10878"/>
    <x v="207"/>
    <s v="Nikhil"/>
    <x v="3"/>
    <x v="0"/>
    <x v="1"/>
    <x v="5"/>
    <n v="15"/>
    <n v="1960"/>
    <n v="10"/>
    <n v="26460"/>
    <n v="20109"/>
    <n v="6351"/>
    <x v="0"/>
    <x v="3"/>
  </r>
  <r>
    <n v="10879"/>
    <x v="40"/>
    <s v="Neha"/>
    <x v="0"/>
    <x v="1"/>
    <x v="13"/>
    <x v="0"/>
    <n v="14"/>
    <n v="860"/>
    <n v="15"/>
    <n v="10234"/>
    <n v="8289"/>
    <n v="1945"/>
    <x v="1"/>
    <x v="0"/>
  </r>
  <r>
    <n v="10880"/>
    <x v="259"/>
    <s v="Nikhil"/>
    <x v="1"/>
    <x v="0"/>
    <x v="8"/>
    <x v="2"/>
    <n v="8"/>
    <n v="950"/>
    <n v="10"/>
    <n v="6840"/>
    <n v="5403"/>
    <n v="1437"/>
    <x v="2"/>
    <x v="1"/>
  </r>
  <r>
    <n v="10881"/>
    <x v="209"/>
    <s v="Neha"/>
    <x v="2"/>
    <x v="0"/>
    <x v="1"/>
    <x v="2"/>
    <n v="11"/>
    <n v="1730"/>
    <n v="15"/>
    <n v="16175.5"/>
    <n v="10675"/>
    <n v="5500.5"/>
    <x v="2"/>
    <x v="3"/>
  </r>
  <r>
    <n v="10882"/>
    <x v="422"/>
    <s v="Sara"/>
    <x v="1"/>
    <x v="0"/>
    <x v="10"/>
    <x v="5"/>
    <n v="15"/>
    <n v="680"/>
    <n v="5"/>
    <n v="9690"/>
    <n v="7945"/>
    <n v="1745"/>
    <x v="1"/>
    <x v="1"/>
  </r>
  <r>
    <n v="10884"/>
    <x v="120"/>
    <s v="Riya"/>
    <x v="1"/>
    <x v="1"/>
    <x v="13"/>
    <x v="0"/>
    <n v="1"/>
    <n v="1250"/>
    <n v="0"/>
    <n v="1250"/>
    <n v="875"/>
    <n v="375"/>
    <x v="1"/>
    <x v="1"/>
  </r>
  <r>
    <n v="10885"/>
    <x v="36"/>
    <s v="Vivek"/>
    <x v="2"/>
    <x v="0"/>
    <x v="1"/>
    <x v="5"/>
    <n v="2"/>
    <n v="1180"/>
    <n v="10"/>
    <n v="2124"/>
    <n v="1210"/>
    <n v="914"/>
    <x v="1"/>
    <x v="4"/>
  </r>
  <r>
    <n v="10886"/>
    <x v="180"/>
    <s v="Riya"/>
    <x v="1"/>
    <x v="2"/>
    <x v="9"/>
    <x v="0"/>
    <n v="15"/>
    <n v="440"/>
    <n v="10"/>
    <n v="5940"/>
    <n v="5049"/>
    <n v="891"/>
    <x v="1"/>
    <x v="1"/>
  </r>
  <r>
    <n v="10888"/>
    <x v="358"/>
    <s v="Sara"/>
    <x v="0"/>
    <x v="1"/>
    <x v="13"/>
    <x v="6"/>
    <n v="12"/>
    <n v="820"/>
    <n v="0"/>
    <n v="9840"/>
    <n v="6691"/>
    <n v="3149"/>
    <x v="1"/>
    <x v="1"/>
  </r>
  <r>
    <n v="10889"/>
    <x v="205"/>
    <s v="Vivek"/>
    <x v="3"/>
    <x v="1"/>
    <x v="4"/>
    <x v="1"/>
    <n v="13"/>
    <n v="450"/>
    <n v="0"/>
    <n v="5850"/>
    <n v="4036"/>
    <n v="1814"/>
    <x v="2"/>
    <x v="3"/>
  </r>
  <r>
    <n v="10890"/>
    <x v="358"/>
    <s v="Mohit"/>
    <x v="2"/>
    <x v="0"/>
    <x v="10"/>
    <x v="3"/>
    <n v="9"/>
    <n v="980"/>
    <n v="5"/>
    <n v="8379"/>
    <n v="4776"/>
    <n v="3603"/>
    <x v="2"/>
    <x v="3"/>
  </r>
  <r>
    <n v="10891"/>
    <x v="403"/>
    <s v="Vivek"/>
    <x v="3"/>
    <x v="0"/>
    <x v="2"/>
    <x v="0"/>
    <n v="3"/>
    <n v="1150"/>
    <n v="10"/>
    <n v="3105"/>
    <n v="2608"/>
    <n v="497"/>
    <x v="1"/>
    <x v="1"/>
  </r>
  <r>
    <n v="10892"/>
    <x v="427"/>
    <s v="Amit"/>
    <x v="1"/>
    <x v="0"/>
    <x v="0"/>
    <x v="5"/>
    <n v="13"/>
    <n v="670"/>
    <n v="20"/>
    <n v="6968"/>
    <n v="4807"/>
    <n v="2161"/>
    <x v="3"/>
    <x v="2"/>
  </r>
  <r>
    <n v="10893"/>
    <x v="198"/>
    <s v="Amit"/>
    <x v="2"/>
    <x v="0"/>
    <x v="1"/>
    <x v="6"/>
    <n v="11"/>
    <n v="1820"/>
    <n v="15"/>
    <n v="17017"/>
    <n v="14464"/>
    <n v="2553"/>
    <x v="2"/>
    <x v="4"/>
  </r>
  <r>
    <n v="10894"/>
    <x v="428"/>
    <s v="Anjali"/>
    <x v="1"/>
    <x v="1"/>
    <x v="3"/>
    <x v="3"/>
    <n v="7"/>
    <n v="1900"/>
    <n v="15"/>
    <n v="11305"/>
    <n v="8252"/>
    <n v="3053"/>
    <x v="1"/>
    <x v="2"/>
  </r>
  <r>
    <n v="10895"/>
    <x v="75"/>
    <s v="Amit"/>
    <x v="1"/>
    <x v="2"/>
    <x v="5"/>
    <x v="4"/>
    <n v="15"/>
    <n v="910"/>
    <n v="15"/>
    <n v="11602.5"/>
    <n v="6729"/>
    <n v="4873.5"/>
    <x v="0"/>
    <x v="4"/>
  </r>
  <r>
    <n v="10896"/>
    <x v="345"/>
    <s v="Sneha"/>
    <x v="3"/>
    <x v="0"/>
    <x v="8"/>
    <x v="1"/>
    <n v="4"/>
    <n v="1420"/>
    <n v="20"/>
    <n v="4544"/>
    <n v="2590"/>
    <n v="1954"/>
    <x v="0"/>
    <x v="0"/>
  </r>
  <r>
    <n v="10897"/>
    <x v="201"/>
    <s v="Kiran"/>
    <x v="3"/>
    <x v="1"/>
    <x v="13"/>
    <x v="0"/>
    <n v="8"/>
    <n v="390"/>
    <n v="15"/>
    <n v="2652"/>
    <n v="2201"/>
    <n v="451"/>
    <x v="2"/>
    <x v="0"/>
  </r>
  <r>
    <n v="10898"/>
    <x v="196"/>
    <s v="Riya"/>
    <x v="0"/>
    <x v="2"/>
    <x v="9"/>
    <x v="3"/>
    <n v="6"/>
    <n v="720"/>
    <n v="20"/>
    <n v="3456"/>
    <n v="2833"/>
    <n v="623"/>
    <x v="1"/>
    <x v="3"/>
  </r>
  <r>
    <n v="10899"/>
    <x v="81"/>
    <s v="Riya"/>
    <x v="0"/>
    <x v="1"/>
    <x v="13"/>
    <x v="0"/>
    <n v="13"/>
    <n v="210"/>
    <n v="5"/>
    <n v="2593.5"/>
    <n v="2126"/>
    <n v="467.5"/>
    <x v="0"/>
    <x v="1"/>
  </r>
  <r>
    <n v="10900"/>
    <x v="232"/>
    <s v="Kiran"/>
    <x v="3"/>
    <x v="0"/>
    <x v="10"/>
    <x v="5"/>
    <n v="12"/>
    <n v="1040"/>
    <n v="20"/>
    <n v="9984"/>
    <n v="7488"/>
    <n v="2496"/>
    <x v="1"/>
    <x v="4"/>
  </r>
  <r>
    <n v="10901"/>
    <x v="142"/>
    <s v="Sara"/>
    <x v="0"/>
    <x v="1"/>
    <x v="11"/>
    <x v="5"/>
    <n v="2"/>
    <n v="310"/>
    <n v="5"/>
    <n v="589"/>
    <n v="459"/>
    <n v="130"/>
    <x v="1"/>
    <x v="0"/>
  </r>
  <r>
    <n v="10902"/>
    <x v="407"/>
    <s v="Vivek"/>
    <x v="2"/>
    <x v="0"/>
    <x v="8"/>
    <x v="4"/>
    <n v="1"/>
    <n v="1540"/>
    <n v="20"/>
    <n v="1232"/>
    <n v="714"/>
    <n v="518"/>
    <x v="3"/>
    <x v="2"/>
  </r>
  <r>
    <n v="10903"/>
    <x v="152"/>
    <s v="Sara"/>
    <x v="3"/>
    <x v="0"/>
    <x v="2"/>
    <x v="0"/>
    <n v="6"/>
    <n v="950"/>
    <n v="20"/>
    <n v="4560"/>
    <n v="2599"/>
    <n v="1961"/>
    <x v="1"/>
    <x v="0"/>
  </r>
  <r>
    <n v="10904"/>
    <x v="94"/>
    <s v="Mohit"/>
    <x v="1"/>
    <x v="1"/>
    <x v="13"/>
    <x v="3"/>
    <n v="1"/>
    <n v="1900"/>
    <n v="5"/>
    <n v="1805"/>
    <n v="1462"/>
    <n v="343"/>
    <x v="1"/>
    <x v="1"/>
  </r>
  <r>
    <n v="10905"/>
    <x v="227"/>
    <s v="Riya"/>
    <x v="0"/>
    <x v="1"/>
    <x v="3"/>
    <x v="5"/>
    <n v="7"/>
    <n v="680"/>
    <n v="5"/>
    <n v="4522"/>
    <n v="2848"/>
    <n v="1674"/>
    <x v="2"/>
    <x v="2"/>
  </r>
  <r>
    <n v="10906"/>
    <x v="388"/>
    <s v="Kiran"/>
    <x v="3"/>
    <x v="2"/>
    <x v="7"/>
    <x v="1"/>
    <n v="15"/>
    <n v="1340"/>
    <n v="20"/>
    <n v="16080"/>
    <n v="9004"/>
    <n v="7076"/>
    <x v="3"/>
    <x v="3"/>
  </r>
  <r>
    <n v="10907"/>
    <x v="110"/>
    <s v="Riya"/>
    <x v="0"/>
    <x v="1"/>
    <x v="13"/>
    <x v="2"/>
    <n v="11"/>
    <n v="900"/>
    <n v="10"/>
    <n v="8910"/>
    <n v="5613"/>
    <n v="3297"/>
    <x v="2"/>
    <x v="4"/>
  </r>
  <r>
    <n v="10908"/>
    <x v="302"/>
    <s v="Nikhil"/>
    <x v="3"/>
    <x v="0"/>
    <x v="0"/>
    <x v="6"/>
    <n v="5"/>
    <n v="840"/>
    <n v="15"/>
    <n v="3570"/>
    <n v="2641"/>
    <n v="929"/>
    <x v="2"/>
    <x v="1"/>
  </r>
  <r>
    <n v="10909"/>
    <x v="90"/>
    <s v="Amit"/>
    <x v="1"/>
    <x v="1"/>
    <x v="4"/>
    <x v="0"/>
    <n v="4"/>
    <n v="1910"/>
    <n v="10"/>
    <n v="6876"/>
    <n v="4194"/>
    <n v="2682"/>
    <x v="2"/>
    <x v="3"/>
  </r>
  <r>
    <n v="10910"/>
    <x v="376"/>
    <s v="Sneha"/>
    <x v="0"/>
    <x v="1"/>
    <x v="3"/>
    <x v="1"/>
    <n v="9"/>
    <n v="1760"/>
    <n v="10"/>
    <n v="14256"/>
    <n v="9694"/>
    <n v="4562"/>
    <x v="0"/>
    <x v="3"/>
  </r>
  <r>
    <n v="10911"/>
    <x v="429"/>
    <s v="Riya"/>
    <x v="3"/>
    <x v="2"/>
    <x v="12"/>
    <x v="5"/>
    <n v="14"/>
    <n v="510"/>
    <n v="20"/>
    <n v="5712"/>
    <n v="3427"/>
    <n v="2285"/>
    <x v="2"/>
    <x v="1"/>
  </r>
  <r>
    <n v="10912"/>
    <x v="168"/>
    <s v="Sneha"/>
    <x v="0"/>
    <x v="0"/>
    <x v="1"/>
    <x v="2"/>
    <n v="4"/>
    <n v="560"/>
    <n v="10"/>
    <n v="2016"/>
    <n v="1673"/>
    <n v="343"/>
    <x v="1"/>
    <x v="3"/>
  </r>
  <r>
    <n v="10914"/>
    <x v="103"/>
    <s v="Neha"/>
    <x v="0"/>
    <x v="1"/>
    <x v="11"/>
    <x v="3"/>
    <n v="4"/>
    <n v="1250"/>
    <n v="15"/>
    <n v="4250"/>
    <n v="3060"/>
    <n v="1190"/>
    <x v="2"/>
    <x v="0"/>
  </r>
  <r>
    <n v="10915"/>
    <x v="99"/>
    <s v="Riya"/>
    <x v="0"/>
    <x v="0"/>
    <x v="8"/>
    <x v="3"/>
    <n v="5"/>
    <n v="1290"/>
    <n v="5"/>
    <n v="6127.5"/>
    <n v="4105"/>
    <n v="2022.5"/>
    <x v="0"/>
    <x v="3"/>
  </r>
  <r>
    <n v="10916"/>
    <x v="254"/>
    <s v="Mohit"/>
    <x v="3"/>
    <x v="2"/>
    <x v="5"/>
    <x v="1"/>
    <n v="8"/>
    <n v="780"/>
    <n v="5"/>
    <n v="5928"/>
    <n v="4446"/>
    <n v="1482"/>
    <x v="2"/>
    <x v="1"/>
  </r>
  <r>
    <n v="10917"/>
    <x v="430"/>
    <s v="Riya"/>
    <x v="3"/>
    <x v="0"/>
    <x v="0"/>
    <x v="5"/>
    <n v="10"/>
    <n v="1300"/>
    <n v="5"/>
    <n v="12350"/>
    <n v="8521"/>
    <n v="3829"/>
    <x v="0"/>
    <x v="0"/>
  </r>
  <r>
    <n v="10918"/>
    <x v="431"/>
    <s v="Sara"/>
    <x v="2"/>
    <x v="1"/>
    <x v="11"/>
    <x v="2"/>
    <n v="4"/>
    <n v="1690"/>
    <n v="5"/>
    <n v="6422"/>
    <n v="4559"/>
    <n v="1863"/>
    <x v="2"/>
    <x v="4"/>
  </r>
  <r>
    <n v="10919"/>
    <x v="432"/>
    <s v="Sara"/>
    <x v="2"/>
    <x v="2"/>
    <x v="7"/>
    <x v="6"/>
    <n v="3"/>
    <n v="1390"/>
    <n v="5"/>
    <n v="3961.5"/>
    <n v="3327"/>
    <n v="634.5"/>
    <x v="2"/>
    <x v="2"/>
  </r>
  <r>
    <n v="10920"/>
    <x v="379"/>
    <s v="Amit"/>
    <x v="2"/>
    <x v="0"/>
    <x v="8"/>
    <x v="0"/>
    <n v="9"/>
    <n v="620"/>
    <n v="0"/>
    <n v="5580"/>
    <n v="4575"/>
    <n v="1005"/>
    <x v="3"/>
    <x v="4"/>
  </r>
  <r>
    <n v="10921"/>
    <x v="264"/>
    <s v="Anjali"/>
    <x v="0"/>
    <x v="2"/>
    <x v="7"/>
    <x v="0"/>
    <n v="11"/>
    <n v="1000"/>
    <n v="20"/>
    <n v="8800"/>
    <n v="4928"/>
    <n v="3872"/>
    <x v="1"/>
    <x v="3"/>
  </r>
  <r>
    <n v="10922"/>
    <x v="433"/>
    <s v="Sara"/>
    <x v="0"/>
    <x v="2"/>
    <x v="12"/>
    <x v="4"/>
    <n v="11"/>
    <n v="940"/>
    <n v="0"/>
    <n v="10340"/>
    <n v="6410"/>
    <n v="3930"/>
    <x v="1"/>
    <x v="1"/>
  </r>
  <r>
    <n v="10923"/>
    <x v="434"/>
    <s v="Kiran"/>
    <x v="2"/>
    <x v="0"/>
    <x v="1"/>
    <x v="1"/>
    <n v="7"/>
    <n v="780"/>
    <n v="5"/>
    <n v="5187"/>
    <n v="3475"/>
    <n v="1712"/>
    <x v="1"/>
    <x v="0"/>
  </r>
  <r>
    <n v="10924"/>
    <x v="246"/>
    <s v="Neha"/>
    <x v="1"/>
    <x v="1"/>
    <x v="13"/>
    <x v="6"/>
    <n v="13"/>
    <n v="550"/>
    <n v="5"/>
    <n v="6792.5"/>
    <n v="5434"/>
    <n v="1358.5"/>
    <x v="0"/>
    <x v="1"/>
  </r>
  <r>
    <n v="10925"/>
    <x v="339"/>
    <s v="Sneha"/>
    <x v="3"/>
    <x v="0"/>
    <x v="10"/>
    <x v="2"/>
    <n v="2"/>
    <n v="820"/>
    <n v="15"/>
    <n v="1394"/>
    <n v="947"/>
    <n v="447"/>
    <x v="2"/>
    <x v="3"/>
  </r>
  <r>
    <n v="10926"/>
    <x v="248"/>
    <s v="Vivek"/>
    <x v="1"/>
    <x v="0"/>
    <x v="0"/>
    <x v="0"/>
    <n v="9"/>
    <n v="1030"/>
    <n v="5"/>
    <n v="8806.5"/>
    <n v="6076"/>
    <n v="2730.5"/>
    <x v="1"/>
    <x v="2"/>
  </r>
  <r>
    <n v="10927"/>
    <x v="108"/>
    <s v="Kiran"/>
    <x v="1"/>
    <x v="1"/>
    <x v="11"/>
    <x v="4"/>
    <n v="7"/>
    <n v="1250"/>
    <n v="0"/>
    <n v="8750"/>
    <n v="5950"/>
    <n v="2800"/>
    <x v="1"/>
    <x v="1"/>
  </r>
  <r>
    <n v="10928"/>
    <x v="338"/>
    <s v="Kiran"/>
    <x v="2"/>
    <x v="1"/>
    <x v="13"/>
    <x v="5"/>
    <n v="2"/>
    <n v="1040"/>
    <n v="0"/>
    <n v="2080"/>
    <n v="1144"/>
    <n v="936"/>
    <x v="0"/>
    <x v="3"/>
  </r>
  <r>
    <n v="10929"/>
    <x v="63"/>
    <s v="Nikhil"/>
    <x v="0"/>
    <x v="0"/>
    <x v="8"/>
    <x v="6"/>
    <n v="3"/>
    <n v="1500"/>
    <n v="20"/>
    <n v="3600"/>
    <n v="2052"/>
    <n v="1548"/>
    <x v="3"/>
    <x v="3"/>
  </r>
  <r>
    <n v="10930"/>
    <x v="323"/>
    <s v="Anjali"/>
    <x v="1"/>
    <x v="0"/>
    <x v="0"/>
    <x v="4"/>
    <n v="2"/>
    <n v="200"/>
    <n v="10"/>
    <n v="360"/>
    <n v="306"/>
    <n v="54"/>
    <x v="3"/>
    <x v="4"/>
  </r>
  <r>
    <n v="10931"/>
    <x v="183"/>
    <s v="Vivek"/>
    <x v="3"/>
    <x v="0"/>
    <x v="8"/>
    <x v="6"/>
    <n v="13"/>
    <n v="220"/>
    <n v="20"/>
    <n v="2288"/>
    <n v="1716"/>
    <n v="572"/>
    <x v="1"/>
    <x v="2"/>
  </r>
  <r>
    <n v="10932"/>
    <x v="319"/>
    <s v="Kiran"/>
    <x v="1"/>
    <x v="1"/>
    <x v="13"/>
    <x v="3"/>
    <n v="9"/>
    <n v="250"/>
    <n v="20"/>
    <n v="1800"/>
    <n v="1224"/>
    <n v="576"/>
    <x v="1"/>
    <x v="3"/>
  </r>
  <r>
    <n v="10933"/>
    <x v="353"/>
    <s v="Anjali"/>
    <x v="3"/>
    <x v="2"/>
    <x v="5"/>
    <x v="2"/>
    <n v="9"/>
    <n v="1630"/>
    <n v="5"/>
    <n v="13936.5"/>
    <n v="11846"/>
    <n v="2090.5"/>
    <x v="3"/>
    <x v="1"/>
  </r>
  <r>
    <n v="10934"/>
    <x v="435"/>
    <s v="Riya"/>
    <x v="1"/>
    <x v="1"/>
    <x v="3"/>
    <x v="5"/>
    <n v="10"/>
    <n v="1310"/>
    <n v="5"/>
    <n v="12445"/>
    <n v="9582"/>
    <n v="2863"/>
    <x v="2"/>
    <x v="4"/>
  </r>
  <r>
    <n v="10935"/>
    <x v="167"/>
    <s v="Anjali"/>
    <x v="2"/>
    <x v="2"/>
    <x v="12"/>
    <x v="4"/>
    <n v="13"/>
    <n v="540"/>
    <n v="5"/>
    <n v="6669"/>
    <n v="3667"/>
    <n v="3002"/>
    <x v="3"/>
    <x v="3"/>
  </r>
  <r>
    <n v="10938"/>
    <x v="436"/>
    <s v="Nikhil"/>
    <x v="1"/>
    <x v="2"/>
    <x v="12"/>
    <x v="1"/>
    <n v="1"/>
    <n v="740"/>
    <n v="20"/>
    <n v="592"/>
    <n v="355"/>
    <n v="237"/>
    <x v="0"/>
    <x v="1"/>
  </r>
  <r>
    <n v="10939"/>
    <x v="437"/>
    <s v="Amit"/>
    <x v="1"/>
    <x v="0"/>
    <x v="2"/>
    <x v="2"/>
    <n v="5"/>
    <n v="1110"/>
    <n v="15"/>
    <n v="4717.5"/>
    <n v="2877"/>
    <n v="1840.5"/>
    <x v="1"/>
    <x v="2"/>
  </r>
  <r>
    <n v="10940"/>
    <x v="31"/>
    <s v="Mohit"/>
    <x v="0"/>
    <x v="0"/>
    <x v="8"/>
    <x v="0"/>
    <n v="14"/>
    <n v="1300"/>
    <n v="15"/>
    <n v="15470"/>
    <n v="11138"/>
    <n v="4332"/>
    <x v="3"/>
    <x v="2"/>
  </r>
  <r>
    <n v="10941"/>
    <x v="217"/>
    <s v="Nikhil"/>
    <x v="2"/>
    <x v="2"/>
    <x v="9"/>
    <x v="6"/>
    <n v="15"/>
    <n v="1060"/>
    <n v="5"/>
    <n v="15105"/>
    <n v="11479"/>
    <n v="3626"/>
    <x v="2"/>
    <x v="1"/>
  </r>
  <r>
    <n v="10942"/>
    <x v="170"/>
    <s v="Amit"/>
    <x v="2"/>
    <x v="0"/>
    <x v="0"/>
    <x v="2"/>
    <n v="3"/>
    <n v="1270"/>
    <n v="0"/>
    <n v="3810"/>
    <n v="2324"/>
    <n v="1486"/>
    <x v="3"/>
    <x v="1"/>
  </r>
  <r>
    <n v="10944"/>
    <x v="320"/>
    <s v="Vivek"/>
    <x v="0"/>
    <x v="2"/>
    <x v="7"/>
    <x v="4"/>
    <n v="7"/>
    <n v="1190"/>
    <n v="5"/>
    <n v="7913.5"/>
    <n v="5697"/>
    <n v="2216.5"/>
    <x v="0"/>
    <x v="0"/>
  </r>
  <r>
    <n v="10946"/>
    <x v="317"/>
    <s v="Anjali"/>
    <x v="2"/>
    <x v="0"/>
    <x v="8"/>
    <x v="1"/>
    <n v="4"/>
    <n v="270"/>
    <n v="0"/>
    <n v="1080"/>
    <n v="604"/>
    <n v="476"/>
    <x v="3"/>
    <x v="0"/>
  </r>
  <r>
    <n v="10947"/>
    <x v="143"/>
    <s v="Anjali"/>
    <x v="3"/>
    <x v="0"/>
    <x v="10"/>
    <x v="3"/>
    <n v="4"/>
    <n v="1190"/>
    <n v="5"/>
    <n v="4522"/>
    <n v="3436"/>
    <n v="1086"/>
    <x v="1"/>
    <x v="0"/>
  </r>
  <r>
    <n v="10948"/>
    <x v="105"/>
    <s v="Neha"/>
    <x v="0"/>
    <x v="2"/>
    <x v="5"/>
    <x v="4"/>
    <n v="4"/>
    <n v="850"/>
    <n v="15"/>
    <n v="2890"/>
    <n v="1589"/>
    <n v="1301"/>
    <x v="2"/>
    <x v="4"/>
  </r>
  <r>
    <n v="10949"/>
    <x v="431"/>
    <s v="Neha"/>
    <x v="1"/>
    <x v="1"/>
    <x v="11"/>
    <x v="1"/>
    <n v="13"/>
    <n v="1950"/>
    <n v="20"/>
    <n v="20280"/>
    <n v="14804"/>
    <n v="5476"/>
    <x v="2"/>
    <x v="4"/>
  </r>
  <r>
    <n v="10950"/>
    <x v="288"/>
    <s v="Vivek"/>
    <x v="2"/>
    <x v="1"/>
    <x v="11"/>
    <x v="6"/>
    <n v="1"/>
    <n v="730"/>
    <n v="20"/>
    <n v="584"/>
    <n v="344"/>
    <n v="240"/>
    <x v="0"/>
    <x v="0"/>
  </r>
  <r>
    <n v="10951"/>
    <x v="438"/>
    <s v="Riya"/>
    <x v="3"/>
    <x v="0"/>
    <x v="1"/>
    <x v="1"/>
    <n v="3"/>
    <n v="1530"/>
    <n v="5"/>
    <n v="4360.5"/>
    <n v="2572"/>
    <n v="1788.5"/>
    <x v="3"/>
    <x v="1"/>
  </r>
  <r>
    <n v="10952"/>
    <x v="110"/>
    <s v="Mohit"/>
    <x v="2"/>
    <x v="0"/>
    <x v="0"/>
    <x v="3"/>
    <n v="4"/>
    <n v="1600"/>
    <n v="15"/>
    <n v="5440"/>
    <n v="4352"/>
    <n v="1088"/>
    <x v="3"/>
    <x v="1"/>
  </r>
  <r>
    <n v="10953"/>
    <x v="139"/>
    <s v="Mohit"/>
    <x v="0"/>
    <x v="1"/>
    <x v="13"/>
    <x v="2"/>
    <n v="5"/>
    <n v="830"/>
    <n v="20"/>
    <n v="3320"/>
    <n v="1992"/>
    <n v="1328"/>
    <x v="2"/>
    <x v="0"/>
  </r>
  <r>
    <n v="10954"/>
    <x v="108"/>
    <s v="Nikhil"/>
    <x v="0"/>
    <x v="2"/>
    <x v="5"/>
    <x v="2"/>
    <n v="13"/>
    <n v="1530"/>
    <n v="5"/>
    <n v="18895.5"/>
    <n v="12848"/>
    <n v="6047.5"/>
    <x v="3"/>
    <x v="4"/>
  </r>
  <r>
    <n v="10955"/>
    <x v="20"/>
    <s v="Sara"/>
    <x v="3"/>
    <x v="2"/>
    <x v="7"/>
    <x v="3"/>
    <n v="3"/>
    <n v="1230"/>
    <n v="0"/>
    <n v="3690"/>
    <n v="2066"/>
    <n v="1624"/>
    <x v="2"/>
    <x v="0"/>
  </r>
  <r>
    <n v="10956"/>
    <x v="96"/>
    <s v="Nikhil"/>
    <x v="3"/>
    <x v="0"/>
    <x v="1"/>
    <x v="2"/>
    <n v="15"/>
    <n v="430"/>
    <n v="20"/>
    <n v="5160"/>
    <n v="3663"/>
    <n v="1497"/>
    <x v="3"/>
    <x v="3"/>
  </r>
  <r>
    <n v="10957"/>
    <x v="99"/>
    <s v="Neha"/>
    <x v="3"/>
    <x v="1"/>
    <x v="4"/>
    <x v="2"/>
    <n v="2"/>
    <n v="1880"/>
    <n v="5"/>
    <n v="3572"/>
    <n v="2679"/>
    <n v="893"/>
    <x v="2"/>
    <x v="3"/>
  </r>
  <r>
    <n v="10958"/>
    <x v="32"/>
    <s v="Anjali"/>
    <x v="1"/>
    <x v="0"/>
    <x v="1"/>
    <x v="5"/>
    <n v="8"/>
    <n v="1800"/>
    <n v="15"/>
    <n v="12240"/>
    <n v="10036"/>
    <n v="2204"/>
    <x v="3"/>
    <x v="0"/>
  </r>
  <r>
    <n v="10959"/>
    <x v="439"/>
    <s v="Anjali"/>
    <x v="0"/>
    <x v="1"/>
    <x v="4"/>
    <x v="1"/>
    <n v="11"/>
    <n v="480"/>
    <n v="0"/>
    <n v="5280"/>
    <n v="3801"/>
    <n v="1479"/>
    <x v="0"/>
    <x v="4"/>
  </r>
  <r>
    <n v="10960"/>
    <x v="440"/>
    <s v="Neha"/>
    <x v="1"/>
    <x v="1"/>
    <x v="13"/>
    <x v="0"/>
    <n v="14"/>
    <n v="1560"/>
    <n v="20"/>
    <n v="17472"/>
    <n v="10308"/>
    <n v="7164"/>
    <x v="0"/>
    <x v="0"/>
  </r>
  <r>
    <n v="10961"/>
    <x v="441"/>
    <s v="Sneha"/>
    <x v="1"/>
    <x v="2"/>
    <x v="7"/>
    <x v="5"/>
    <n v="8"/>
    <n v="300"/>
    <n v="20"/>
    <n v="1920"/>
    <n v="1632"/>
    <n v="288"/>
    <x v="1"/>
    <x v="1"/>
  </r>
  <r>
    <n v="10962"/>
    <x v="60"/>
    <s v="Riya"/>
    <x v="0"/>
    <x v="1"/>
    <x v="11"/>
    <x v="5"/>
    <n v="12"/>
    <n v="410"/>
    <n v="0"/>
    <n v="4920"/>
    <n v="2902"/>
    <n v="2018"/>
    <x v="1"/>
    <x v="4"/>
  </r>
  <r>
    <n v="10963"/>
    <x v="51"/>
    <s v="Neha"/>
    <x v="3"/>
    <x v="0"/>
    <x v="8"/>
    <x v="0"/>
    <n v="13"/>
    <n v="390"/>
    <n v="20"/>
    <n v="4056"/>
    <n v="2717"/>
    <n v="1339"/>
    <x v="3"/>
    <x v="0"/>
  </r>
  <r>
    <n v="10964"/>
    <x v="333"/>
    <s v="Nikhil"/>
    <x v="1"/>
    <x v="1"/>
    <x v="13"/>
    <x v="4"/>
    <n v="6"/>
    <n v="1820"/>
    <n v="0"/>
    <n v="10920"/>
    <n v="6879"/>
    <n v="4041"/>
    <x v="1"/>
    <x v="0"/>
  </r>
  <r>
    <n v="10965"/>
    <x v="184"/>
    <s v="Mohit"/>
    <x v="0"/>
    <x v="0"/>
    <x v="8"/>
    <x v="4"/>
    <n v="2"/>
    <n v="1030"/>
    <n v="10"/>
    <n v="1854"/>
    <n v="1501"/>
    <n v="353"/>
    <x v="1"/>
    <x v="3"/>
  </r>
  <r>
    <n v="10966"/>
    <x v="392"/>
    <s v="Sara"/>
    <x v="1"/>
    <x v="1"/>
    <x v="4"/>
    <x v="2"/>
    <n v="6"/>
    <n v="1080"/>
    <n v="10"/>
    <n v="5832"/>
    <n v="3615"/>
    <n v="2217"/>
    <x v="0"/>
    <x v="2"/>
  </r>
  <r>
    <n v="10967"/>
    <x v="442"/>
    <s v="Amit"/>
    <x v="2"/>
    <x v="0"/>
    <x v="10"/>
    <x v="2"/>
    <n v="8"/>
    <n v="1260"/>
    <n v="5"/>
    <n v="9576"/>
    <n v="6320"/>
    <n v="3256"/>
    <x v="2"/>
    <x v="4"/>
  </r>
  <r>
    <n v="10968"/>
    <x v="117"/>
    <s v="Kiran"/>
    <x v="1"/>
    <x v="1"/>
    <x v="13"/>
    <x v="5"/>
    <n v="14"/>
    <n v="1010"/>
    <n v="15"/>
    <n v="12019"/>
    <n v="6850"/>
    <n v="5169"/>
    <x v="1"/>
    <x v="2"/>
  </r>
  <r>
    <n v="10969"/>
    <x v="443"/>
    <s v="Amit"/>
    <x v="3"/>
    <x v="1"/>
    <x v="13"/>
    <x v="6"/>
    <n v="13"/>
    <n v="1270"/>
    <n v="10"/>
    <n v="14859"/>
    <n v="10549"/>
    <n v="4310"/>
    <x v="3"/>
    <x v="1"/>
  </r>
  <r>
    <n v="10970"/>
    <x v="215"/>
    <s v="Anjali"/>
    <x v="1"/>
    <x v="0"/>
    <x v="1"/>
    <x v="4"/>
    <n v="3"/>
    <n v="760"/>
    <n v="5"/>
    <n v="2166"/>
    <n v="1277"/>
    <n v="889"/>
    <x v="2"/>
    <x v="2"/>
  </r>
  <r>
    <n v="10971"/>
    <x v="210"/>
    <s v="Nikhil"/>
    <x v="1"/>
    <x v="2"/>
    <x v="12"/>
    <x v="4"/>
    <n v="4"/>
    <n v="1530"/>
    <n v="15"/>
    <n v="5202"/>
    <n v="3017"/>
    <n v="2185"/>
    <x v="3"/>
    <x v="4"/>
  </r>
  <r>
    <n v="10972"/>
    <x v="444"/>
    <s v="Vivek"/>
    <x v="3"/>
    <x v="0"/>
    <x v="0"/>
    <x v="4"/>
    <n v="13"/>
    <n v="770"/>
    <n v="5"/>
    <n v="9509.5"/>
    <n v="6751"/>
    <n v="2758.5"/>
    <x v="2"/>
    <x v="4"/>
  </r>
  <r>
    <n v="10973"/>
    <x v="243"/>
    <s v="Sara"/>
    <x v="1"/>
    <x v="1"/>
    <x v="3"/>
    <x v="1"/>
    <n v="12"/>
    <n v="970"/>
    <n v="20"/>
    <n v="9312"/>
    <n v="5959"/>
    <n v="3353"/>
    <x v="1"/>
    <x v="2"/>
  </r>
  <r>
    <n v="10974"/>
    <x v="65"/>
    <s v="Mohit"/>
    <x v="1"/>
    <x v="1"/>
    <x v="11"/>
    <x v="5"/>
    <n v="6"/>
    <n v="990"/>
    <n v="20"/>
    <n v="4752"/>
    <n v="3706"/>
    <n v="1046"/>
    <x v="0"/>
    <x v="4"/>
  </r>
  <r>
    <n v="10975"/>
    <x v="445"/>
    <s v="Neha"/>
    <x v="3"/>
    <x v="2"/>
    <x v="6"/>
    <x v="0"/>
    <n v="2"/>
    <n v="590"/>
    <n v="15"/>
    <n v="1003"/>
    <n v="842"/>
    <n v="161"/>
    <x v="1"/>
    <x v="2"/>
  </r>
  <r>
    <n v="10976"/>
    <x v="365"/>
    <s v="Anjali"/>
    <x v="1"/>
    <x v="1"/>
    <x v="13"/>
    <x v="6"/>
    <n v="5"/>
    <n v="390"/>
    <n v="0"/>
    <n v="1950"/>
    <n v="1599"/>
    <n v="351"/>
    <x v="3"/>
    <x v="0"/>
  </r>
  <r>
    <n v="10977"/>
    <x v="446"/>
    <s v="Riya"/>
    <x v="0"/>
    <x v="0"/>
    <x v="0"/>
    <x v="3"/>
    <n v="13"/>
    <n v="210"/>
    <n v="0"/>
    <n v="2730"/>
    <n v="2293"/>
    <n v="437"/>
    <x v="2"/>
    <x v="0"/>
  </r>
  <r>
    <n v="10978"/>
    <x v="126"/>
    <s v="Amit"/>
    <x v="3"/>
    <x v="1"/>
    <x v="11"/>
    <x v="6"/>
    <n v="1"/>
    <n v="1070"/>
    <n v="15"/>
    <n v="909.5"/>
    <n v="582"/>
    <n v="327.5"/>
    <x v="1"/>
    <x v="0"/>
  </r>
  <r>
    <n v="10979"/>
    <x v="178"/>
    <s v="Anjali"/>
    <x v="2"/>
    <x v="2"/>
    <x v="7"/>
    <x v="6"/>
    <n v="15"/>
    <n v="1990"/>
    <n v="0"/>
    <n v="29850"/>
    <n v="23581"/>
    <n v="6269"/>
    <x v="1"/>
    <x v="1"/>
  </r>
  <r>
    <n v="10980"/>
    <x v="388"/>
    <s v="Sara"/>
    <x v="1"/>
    <x v="1"/>
    <x v="4"/>
    <x v="0"/>
    <n v="8"/>
    <n v="740"/>
    <n v="20"/>
    <n v="4736"/>
    <n v="4025"/>
    <n v="711"/>
    <x v="0"/>
    <x v="4"/>
  </r>
  <r>
    <n v="10981"/>
    <x v="447"/>
    <s v="Sara"/>
    <x v="3"/>
    <x v="0"/>
    <x v="1"/>
    <x v="5"/>
    <n v="13"/>
    <n v="300"/>
    <n v="20"/>
    <n v="3120"/>
    <n v="2090"/>
    <n v="1030"/>
    <x v="0"/>
    <x v="4"/>
  </r>
  <r>
    <n v="10982"/>
    <x v="169"/>
    <s v="Mohit"/>
    <x v="1"/>
    <x v="2"/>
    <x v="5"/>
    <x v="2"/>
    <n v="7"/>
    <n v="800"/>
    <n v="20"/>
    <n v="4480"/>
    <n v="3404"/>
    <n v="1076"/>
    <x v="3"/>
    <x v="1"/>
  </r>
  <r>
    <n v="10983"/>
    <x v="246"/>
    <s v="Anjali"/>
    <x v="0"/>
    <x v="1"/>
    <x v="11"/>
    <x v="5"/>
    <n v="12"/>
    <n v="1010"/>
    <n v="5"/>
    <n v="11514"/>
    <n v="7253"/>
    <n v="4261"/>
    <x v="3"/>
    <x v="3"/>
  </r>
  <r>
    <n v="10984"/>
    <x v="393"/>
    <s v="Sneha"/>
    <x v="1"/>
    <x v="0"/>
    <x v="0"/>
    <x v="1"/>
    <n v="15"/>
    <n v="1550"/>
    <n v="15"/>
    <n v="19762.5"/>
    <n v="11067"/>
    <n v="8695.5"/>
    <x v="2"/>
    <x v="4"/>
  </r>
  <r>
    <n v="10985"/>
    <x v="269"/>
    <s v="Sneha"/>
    <x v="3"/>
    <x v="2"/>
    <x v="12"/>
    <x v="0"/>
    <n v="11"/>
    <n v="290"/>
    <n v="15"/>
    <n v="2711.5"/>
    <n v="2169"/>
    <n v="542.5"/>
    <x v="1"/>
    <x v="4"/>
  </r>
  <r>
    <n v="10986"/>
    <x v="224"/>
    <s v="Nikhil"/>
    <x v="1"/>
    <x v="2"/>
    <x v="12"/>
    <x v="6"/>
    <n v="15"/>
    <n v="1130"/>
    <n v="20"/>
    <n v="13560"/>
    <n v="8000"/>
    <n v="5560"/>
    <x v="3"/>
    <x v="0"/>
  </r>
  <r>
    <n v="10987"/>
    <x v="448"/>
    <s v="Vivek"/>
    <x v="1"/>
    <x v="0"/>
    <x v="2"/>
    <x v="4"/>
    <n v="12"/>
    <n v="540"/>
    <n v="5"/>
    <n v="6156"/>
    <n v="4124"/>
    <n v="2032"/>
    <x v="0"/>
    <x v="3"/>
  </r>
  <r>
    <n v="10988"/>
    <x v="139"/>
    <s v="Nikhil"/>
    <x v="2"/>
    <x v="2"/>
    <x v="12"/>
    <x v="0"/>
    <n v="4"/>
    <n v="210"/>
    <n v="5"/>
    <n v="798"/>
    <n v="486"/>
    <n v="312"/>
    <x v="1"/>
    <x v="0"/>
  </r>
  <r>
    <n v="10989"/>
    <x v="78"/>
    <s v="Sara"/>
    <x v="1"/>
    <x v="2"/>
    <x v="12"/>
    <x v="6"/>
    <n v="7"/>
    <n v="800"/>
    <n v="5"/>
    <n v="5320"/>
    <n v="3458"/>
    <n v="1862"/>
    <x v="1"/>
    <x v="2"/>
  </r>
  <r>
    <n v="10990"/>
    <x v="42"/>
    <s v="Vivek"/>
    <x v="1"/>
    <x v="1"/>
    <x v="13"/>
    <x v="1"/>
    <n v="3"/>
    <n v="950"/>
    <n v="5"/>
    <n v="2707.5"/>
    <n v="1922"/>
    <n v="785.5"/>
    <x v="2"/>
    <x v="3"/>
  </r>
  <r>
    <n v="10991"/>
    <x v="104"/>
    <s v="Sara"/>
    <x v="1"/>
    <x v="1"/>
    <x v="11"/>
    <x v="3"/>
    <n v="14"/>
    <n v="930"/>
    <n v="5"/>
    <n v="12369"/>
    <n v="9276"/>
    <n v="3093"/>
    <x v="2"/>
    <x v="1"/>
  </r>
  <r>
    <n v="10992"/>
    <x v="98"/>
    <s v="Kiran"/>
    <x v="3"/>
    <x v="0"/>
    <x v="2"/>
    <x v="1"/>
    <n v="8"/>
    <n v="1290"/>
    <n v="0"/>
    <n v="10320"/>
    <n v="7843"/>
    <n v="2477"/>
    <x v="0"/>
    <x v="0"/>
  </r>
  <r>
    <n v="10993"/>
    <x v="449"/>
    <s v="Sneha"/>
    <x v="0"/>
    <x v="0"/>
    <x v="0"/>
    <x v="4"/>
    <n v="15"/>
    <n v="1100"/>
    <n v="5"/>
    <n v="15675"/>
    <n v="12540"/>
    <n v="3135"/>
    <x v="3"/>
    <x v="3"/>
  </r>
  <r>
    <n v="10994"/>
    <x v="450"/>
    <s v="Riya"/>
    <x v="1"/>
    <x v="1"/>
    <x v="13"/>
    <x v="4"/>
    <n v="13"/>
    <n v="1630"/>
    <n v="20"/>
    <n v="16952"/>
    <n v="12544"/>
    <n v="4408"/>
    <x v="1"/>
    <x v="4"/>
  </r>
  <r>
    <n v="10995"/>
    <x v="81"/>
    <s v="Sneha"/>
    <x v="3"/>
    <x v="2"/>
    <x v="9"/>
    <x v="2"/>
    <n v="15"/>
    <n v="1000"/>
    <n v="20"/>
    <n v="12000"/>
    <n v="9840"/>
    <n v="2160"/>
    <x v="1"/>
    <x v="0"/>
  </r>
  <r>
    <n v="10996"/>
    <x v="248"/>
    <s v="Nikhil"/>
    <x v="3"/>
    <x v="1"/>
    <x v="11"/>
    <x v="2"/>
    <n v="7"/>
    <n v="880"/>
    <n v="0"/>
    <n v="6160"/>
    <n v="3942"/>
    <n v="2218"/>
    <x v="1"/>
    <x v="0"/>
  </r>
  <r>
    <n v="10997"/>
    <x v="371"/>
    <s v="Anjali"/>
    <x v="3"/>
    <x v="1"/>
    <x v="4"/>
    <x v="5"/>
    <n v="5"/>
    <n v="1700"/>
    <n v="15"/>
    <n v="7225"/>
    <n v="4118"/>
    <n v="3107"/>
    <x v="1"/>
    <x v="4"/>
  </r>
  <r>
    <n v="10998"/>
    <x v="451"/>
    <s v="Vivek"/>
    <x v="0"/>
    <x v="1"/>
    <x v="4"/>
    <x v="1"/>
    <n v="6"/>
    <n v="1980"/>
    <n v="15"/>
    <n v="10098"/>
    <n v="5654"/>
    <n v="4444"/>
    <x v="1"/>
    <x v="3"/>
  </r>
  <r>
    <n v="10999"/>
    <x v="408"/>
    <s v="Nikhil"/>
    <x v="3"/>
    <x v="2"/>
    <x v="5"/>
    <x v="5"/>
    <n v="6"/>
    <n v="620"/>
    <n v="20"/>
    <n v="2976"/>
    <n v="2529"/>
    <n v="447"/>
    <x v="3"/>
    <x v="1"/>
  </r>
  <r>
    <n v="11000"/>
    <x v="144"/>
    <s v="Anjali"/>
    <x v="2"/>
    <x v="2"/>
    <x v="12"/>
    <x v="6"/>
    <n v="4"/>
    <n v="780"/>
    <n v="10"/>
    <n v="2808"/>
    <n v="2190"/>
    <n v="618"/>
    <x v="3"/>
    <x v="4"/>
  </r>
  <r>
    <n v="11001"/>
    <x v="431"/>
    <s v="Sara"/>
    <x v="2"/>
    <x v="2"/>
    <x v="7"/>
    <x v="1"/>
    <n v="3"/>
    <n v="420"/>
    <n v="5"/>
    <n v="1197"/>
    <n v="1017"/>
    <n v="180"/>
    <x v="1"/>
    <x v="0"/>
  </r>
  <r>
    <n v="11002"/>
    <x v="125"/>
    <s v="Neha"/>
    <x v="2"/>
    <x v="0"/>
    <x v="7"/>
    <x v="0"/>
    <n v="14"/>
    <n v="630"/>
    <n v="10"/>
    <n v="8736"/>
    <n v="1908"/>
    <n v="5021.5"/>
    <x v="1"/>
    <x v="1"/>
  </r>
  <r>
    <n v="11003"/>
    <x v="9"/>
    <s v="Vivek"/>
    <x v="0"/>
    <x v="0"/>
    <x v="1"/>
    <x v="5"/>
    <n v="13"/>
    <n v="650"/>
    <n v="5"/>
    <n v="16100"/>
    <n v="1908"/>
    <n v="1753"/>
    <x v="2"/>
    <x v="0"/>
  </r>
  <r>
    <n v="11004"/>
    <x v="1"/>
    <s v="Sara"/>
    <x v="0"/>
    <x v="2"/>
    <x v="10"/>
    <x v="0"/>
    <n v="4"/>
    <n v="1840"/>
    <n v="5"/>
    <n v="1863"/>
    <n v="18018"/>
    <n v="802"/>
    <x v="3"/>
    <x v="1"/>
  </r>
  <r>
    <n v="11005"/>
    <x v="15"/>
    <s v="Vivek"/>
    <x v="3"/>
    <x v="2"/>
    <x v="4"/>
    <x v="4"/>
    <n v="4"/>
    <n v="1640"/>
    <n v="0"/>
    <n v="620.5"/>
    <n v="8896"/>
    <n v="3980"/>
    <x v="3"/>
    <x v="2"/>
  </r>
  <r>
    <n v="11006"/>
    <x v="95"/>
    <s v="Mohit"/>
    <x v="2"/>
    <x v="2"/>
    <x v="2"/>
    <x v="1"/>
    <n v="6"/>
    <n v="1760"/>
    <n v="0"/>
    <n v="10718.5"/>
    <n v="2398"/>
    <n v="3960"/>
    <x v="3"/>
    <x v="4"/>
  </r>
  <r>
    <n v="11007"/>
    <x v="276"/>
    <s v="Nikhil"/>
    <x v="3"/>
    <x v="0"/>
    <x v="2"/>
    <x v="6"/>
    <n v="9"/>
    <n v="240"/>
    <n v="5"/>
    <n v="1100"/>
    <n v="414"/>
    <n v="5549"/>
    <x v="1"/>
    <x v="4"/>
  </r>
  <r>
    <n v="11008"/>
    <x v="24"/>
    <s v="Amit"/>
    <x v="1"/>
    <x v="1"/>
    <x v="10"/>
    <x v="1"/>
    <n v="3"/>
    <n v="1600"/>
    <n v="5"/>
    <n v="17680"/>
    <n v="1215"/>
    <n v="731"/>
    <x v="3"/>
    <x v="0"/>
  </r>
  <r>
    <n v="11009"/>
    <x v="52"/>
    <s v="Vivek"/>
    <x v="2"/>
    <x v="2"/>
    <x v="1"/>
    <x v="6"/>
    <n v="12"/>
    <n v="1990"/>
    <n v="20"/>
    <n v="3655"/>
    <n v="5011"/>
    <n v="556"/>
    <x v="1"/>
    <x v="3"/>
  </r>
  <r>
    <n v="11010"/>
    <x v="11"/>
    <s v="Nikhil"/>
    <x v="0"/>
    <x v="2"/>
    <x v="2"/>
    <x v="4"/>
    <n v="11"/>
    <n v="1660"/>
    <n v="20"/>
    <n v="12480"/>
    <n v="15723"/>
    <n v="2253"/>
    <x v="3"/>
    <x v="0"/>
  </r>
  <r>
    <n v="11011"/>
    <x v="29"/>
    <s v="Sara"/>
    <x v="3"/>
    <x v="2"/>
    <x v="5"/>
    <x v="6"/>
    <n v="14"/>
    <n v="1000"/>
    <n v="20"/>
    <n v="3655"/>
    <n v="8500"/>
    <n v="988"/>
    <x v="1"/>
    <x v="2"/>
  </r>
  <r>
    <n v="11012"/>
    <x v="90"/>
    <s v="Kiran"/>
    <x v="1"/>
    <x v="2"/>
    <x v="2"/>
    <x v="0"/>
    <n v="8"/>
    <n v="730"/>
    <n v="0"/>
    <n v="2700"/>
    <n v="12403"/>
    <n v="986"/>
    <x v="1"/>
    <x v="1"/>
  </r>
  <r>
    <n v="11013"/>
    <x v="142"/>
    <s v="Kiran"/>
    <x v="3"/>
    <x v="0"/>
    <x v="12"/>
    <x v="0"/>
    <n v="6"/>
    <n v="1860"/>
    <n v="10"/>
    <n v="22400"/>
    <n v="9484"/>
    <n v="1671"/>
    <x v="2"/>
    <x v="0"/>
  </r>
  <r>
    <n v="11015"/>
    <x v="27"/>
    <s v="Kiran"/>
    <x v="1"/>
    <x v="1"/>
    <x v="8"/>
    <x v="5"/>
    <n v="8"/>
    <n v="620"/>
    <n v="15"/>
    <n v="16796"/>
    <n v="3419"/>
    <n v="3844"/>
    <x v="3"/>
    <x v="2"/>
  </r>
  <r>
    <n v="11016"/>
    <x v="149"/>
    <s v="Riya"/>
    <x v="3"/>
    <x v="1"/>
    <x v="7"/>
    <x v="2"/>
    <n v="7"/>
    <n v="250"/>
    <n v="10"/>
    <n v="11360"/>
    <n v="9467"/>
    <n v="998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9FFEB-295B-409D-86EE-E604E7511ECF}" name="PivotTable5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12:O18" firstHeaderRow="1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8">
        <item x="2"/>
        <item x="3"/>
        <item x="1"/>
        <item x="0"/>
        <item x="6"/>
        <item x="4"/>
        <item x="5"/>
        <item t="default"/>
      </items>
    </pivotField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6">
        <item x="0"/>
        <item x="2"/>
        <item x="4"/>
        <item x="1"/>
        <item x="3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C0BF2-4243-41DB-AD46-36718C95A519}" name="PivotTable4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N1:O6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8">
        <item x="2"/>
        <item x="3"/>
        <item x="1"/>
        <item x="0"/>
        <item x="6"/>
        <item x="4"/>
        <item x="5"/>
        <item t="default"/>
      </items>
    </pivotField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0" baseField="0" baseItem="0" numFmtId="164"/>
  </dataFields>
  <chartFormats count="2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A2067-D66C-4DA6-8E63-AACC34A5877A}" name="PivotTable3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15:H23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axis="axisRow" compact="0" outline="0" showAll="0">
      <items count="8">
        <item x="2"/>
        <item x="3"/>
        <item x="1"/>
        <item x="0"/>
        <item x="6"/>
        <item x="4"/>
        <item x="5"/>
        <item t="default"/>
      </items>
    </pivotField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0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C3ABF-8C4C-4E50-916B-0365F63BFF94}" name="PivotTable2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1:H12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axis="axisRow" compact="0" outline="0" showAll="0" measureFilter="1">
      <items count="15">
        <item x="3"/>
        <item x="4"/>
        <item x="13"/>
        <item x="12"/>
        <item x="6"/>
        <item x="8"/>
        <item x="7"/>
        <item x="5"/>
        <item x="2"/>
        <item x="10"/>
        <item x="1"/>
        <item x="0"/>
        <item x="11"/>
        <item x="9"/>
        <item t="default"/>
      </items>
    </pivotField>
    <pivotField compact="0" outline="0" showAll="0">
      <items count="8">
        <item x="2"/>
        <item x="3"/>
        <item x="1"/>
        <item x="0"/>
        <item x="6"/>
        <item x="4"/>
        <item x="5"/>
        <item t="default"/>
      </items>
    </pivotField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</pivotFields>
  <rowFields count="1">
    <field x="5"/>
  </rowFields>
  <rowItems count="11">
    <i>
      <x/>
    </i>
    <i>
      <x v="1"/>
    </i>
    <i>
      <x v="2"/>
    </i>
    <i>
      <x v="5"/>
    </i>
    <i>
      <x v="6"/>
    </i>
    <i>
      <x v="7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Revenue" fld="10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1FC25-57FB-44E3-B782-1F36A3F71572}" name="PivotTable8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18:B24" firstHeaderRow="1" firstDataRow="1" firstDataCol="1"/>
  <pivotFields count="15">
    <pivotField compact="0" outline="0" showAll="0"/>
    <pivotField axis="axisRow" compact="0" outline="0" showAll="0">
      <items count="453">
        <item x="408"/>
        <item x="304"/>
        <item h="1" x="340"/>
        <item h="1" x="255"/>
        <item h="1" x="48"/>
        <item h="1" x="322"/>
        <item x="165"/>
        <item h="1" x="410"/>
        <item h="1" x="428"/>
        <item h="1" x="371"/>
        <item h="1" x="227"/>
        <item h="1" x="373"/>
        <item h="1" x="283"/>
        <item h="1" x="446"/>
        <item h="1" x="395"/>
        <item h="1" x="362"/>
        <item h="1" x="149"/>
        <item h="1" x="67"/>
        <item h="1" x="188"/>
        <item h="1" x="169"/>
        <item h="1" x="39"/>
        <item h="1" x="230"/>
        <item h="1" x="443"/>
        <item h="1" x="82"/>
        <item h="1" x="288"/>
        <item h="1" x="327"/>
        <item h="1" x="426"/>
        <item h="1" x="344"/>
        <item h="1" x="66"/>
        <item h="1" x="160"/>
        <item h="1" x="337"/>
        <item h="1" x="191"/>
        <item h="1" x="432"/>
        <item h="1" x="36"/>
        <item h="1" x="164"/>
        <item h="1" x="54"/>
        <item h="1" x="299"/>
        <item h="1" x="158"/>
        <item h="1" x="316"/>
        <item h="1" x="134"/>
        <item h="1" x="346"/>
        <item h="1" x="438"/>
        <item h="1" x="7"/>
        <item h="1" x="444"/>
        <item h="1" x="89"/>
        <item h="1" x="110"/>
        <item h="1" x="236"/>
        <item h="1" x="383"/>
        <item h="1" x="47"/>
        <item h="1" x="339"/>
        <item h="1" x="282"/>
        <item h="1" x="5"/>
        <item h="1" x="245"/>
        <item h="1" x="216"/>
        <item h="1" x="97"/>
        <item h="1" x="450"/>
        <item h="1" x="115"/>
        <item h="1" x="52"/>
        <item h="1" x="30"/>
        <item h="1" x="420"/>
        <item h="1" x="391"/>
        <item h="1" x="231"/>
        <item h="1" x="45"/>
        <item h="1" x="91"/>
        <item h="1" x="266"/>
        <item h="1" x="112"/>
        <item h="1" x="155"/>
        <item h="1" x="333"/>
        <item h="1" x="53"/>
        <item h="1" x="117"/>
        <item h="1" x="372"/>
        <item h="1" x="367"/>
        <item h="1" x="422"/>
        <item h="1" x="176"/>
        <item h="1" x="144"/>
        <item h="1" x="220"/>
        <item h="1" x="159"/>
        <item h="1" x="135"/>
        <item h="1" x="127"/>
        <item h="1" x="167"/>
        <item h="1" x="318"/>
        <item h="1" x="312"/>
        <item h="1" x="234"/>
        <item h="1" x="319"/>
        <item h="1" x="175"/>
        <item h="1" x="137"/>
        <item h="1" x="349"/>
        <item h="1" x="96"/>
        <item h="1" x="187"/>
        <item h="1" x="262"/>
        <item h="1" x="364"/>
        <item h="1" x="86"/>
        <item h="1" x="10"/>
        <item h="1" x="409"/>
        <item h="1" x="205"/>
        <item h="1" x="146"/>
        <item h="1" x="335"/>
        <item h="1" x="18"/>
        <item h="1" x="435"/>
        <item h="1" x="68"/>
        <item h="1" x="379"/>
        <item h="1" x="26"/>
        <item h="1" x="189"/>
        <item h="1" x="417"/>
        <item h="1" x="17"/>
        <item h="1" x="132"/>
        <item h="1" x="449"/>
        <item h="1" x="326"/>
        <item h="1" x="377"/>
        <item h="1" x="140"/>
        <item h="1" x="69"/>
        <item h="1" x="193"/>
        <item h="1" x="62"/>
        <item h="1" x="49"/>
        <item h="1" x="56"/>
        <item h="1" x="173"/>
        <item h="1" x="285"/>
        <item h="1" x="150"/>
        <item h="1" x="81"/>
        <item h="1" x="109"/>
        <item h="1" x="269"/>
        <item h="1" x="238"/>
        <item h="1" x="343"/>
        <item h="1" x="24"/>
        <item h="1" x="439"/>
        <item h="1" x="308"/>
        <item h="1" x="298"/>
        <item h="1" x="407"/>
        <item h="1" x="124"/>
        <item h="1" x="406"/>
        <item h="1" x="21"/>
        <item h="1" x="163"/>
        <item h="1" x="179"/>
        <item h="1" x="170"/>
        <item h="1" x="143"/>
        <item h="1" x="302"/>
        <item h="1" x="306"/>
        <item h="1" x="414"/>
        <item h="1" x="133"/>
        <item h="1" x="273"/>
        <item h="1" x="192"/>
        <item h="1" x="342"/>
        <item h="1" x="198"/>
        <item h="1" x="434"/>
        <item h="1" x="207"/>
        <item h="1" x="171"/>
        <item h="1" x="416"/>
        <item h="1" x="284"/>
        <item h="1" x="35"/>
        <item h="1" x="427"/>
        <item h="1" x="70"/>
        <item h="1" x="268"/>
        <item h="1" x="213"/>
        <item h="1" x="166"/>
        <item h="1" x="154"/>
        <item h="1" x="90"/>
        <item h="1" x="239"/>
        <item h="1" x="103"/>
        <item h="1" x="378"/>
        <item h="1" x="246"/>
        <item h="1" x="114"/>
        <item h="1" x="80"/>
        <item h="1" x="141"/>
        <item h="1" x="247"/>
        <item h="1" x="201"/>
        <item h="1" x="152"/>
        <item h="1" x="59"/>
        <item h="1" x="375"/>
        <item h="1" x="381"/>
        <item h="1" x="98"/>
        <item h="1" x="336"/>
        <item h="1" x="153"/>
        <item h="1" x="425"/>
        <item h="1" x="64"/>
        <item h="1" x="199"/>
        <item h="1" x="338"/>
        <item h="1" x="226"/>
        <item h="1" x="125"/>
        <item h="1" x="92"/>
        <item h="1" x="223"/>
        <item h="1" x="370"/>
        <item h="1" x="60"/>
        <item h="1" x="229"/>
        <item h="1" x="402"/>
        <item h="1" x="197"/>
        <item h="1" x="296"/>
        <item h="1" x="74"/>
        <item h="1" x="429"/>
        <item h="1" x="310"/>
        <item h="1" x="16"/>
        <item h="1" x="63"/>
        <item h="1" x="329"/>
        <item h="1" x="14"/>
        <item h="1" x="442"/>
        <item h="1" x="423"/>
        <item h="1" x="424"/>
        <item h="1" x="440"/>
        <item h="1" x="126"/>
        <item h="1" x="33"/>
        <item h="1" x="403"/>
        <item h="1" x="178"/>
        <item h="1" x="393"/>
        <item h="1" x="270"/>
        <item h="1" x="451"/>
        <item h="1" x="354"/>
        <item h="1" x="38"/>
        <item h="1" x="88"/>
        <item h="1" x="6"/>
        <item h="1" x="120"/>
        <item h="1" x="209"/>
        <item h="1" x="274"/>
        <item h="1" x="139"/>
        <item h="1" x="183"/>
        <item h="1" x="412"/>
        <item h="1" x="244"/>
        <item h="1" x="351"/>
        <item h="1" x="87"/>
        <item h="1" x="200"/>
        <item h="1" x="136"/>
        <item h="1" x="350"/>
        <item h="1" x="240"/>
        <item h="1" x="301"/>
        <item h="1" x="249"/>
        <item h="1" x="151"/>
        <item h="1" x="382"/>
        <item h="1" x="206"/>
        <item h="1" x="341"/>
        <item h="1" x="182"/>
        <item h="1" x="202"/>
        <item h="1" x="46"/>
        <item h="1" x="388"/>
        <item h="1" x="224"/>
        <item h="1" x="251"/>
        <item h="1" x="180"/>
        <item h="1" x="210"/>
        <item h="1" x="267"/>
        <item h="1" x="374"/>
        <item h="1" x="355"/>
        <item h="1" x="29"/>
        <item h="1" x="34"/>
        <item h="1" x="259"/>
        <item h="1" x="419"/>
        <item h="1" x="358"/>
        <item h="1" x="232"/>
        <item h="1" x="352"/>
        <item h="1" x="397"/>
        <item h="1" x="392"/>
        <item h="1" x="212"/>
        <item h="1" x="219"/>
        <item h="1" x="325"/>
        <item h="1" x="79"/>
        <item h="1" x="323"/>
        <item h="1" x="58"/>
        <item h="1" x="13"/>
        <item h="1" x="20"/>
        <item h="1" x="19"/>
        <item h="1" x="311"/>
        <item h="1" x="107"/>
        <item h="1" x="31"/>
        <item h="1" x="168"/>
        <item h="1" x="57"/>
        <item h="1" x="389"/>
        <item h="1" x="185"/>
        <item h="1" x="315"/>
        <item h="1" x="303"/>
        <item h="1" x="221"/>
        <item h="1" x="116"/>
        <item h="1" x="250"/>
        <item h="1" x="162"/>
        <item h="1" x="217"/>
        <item h="1" x="177"/>
        <item h="1" x="102"/>
        <item h="1" x="263"/>
        <item h="1" x="75"/>
        <item h="1" x="272"/>
        <item h="1" x="111"/>
        <item h="1" x="43"/>
        <item h="1" x="279"/>
        <item h="1" x="184"/>
        <item h="1" x="208"/>
        <item h="1" x="235"/>
        <item h="1" x="365"/>
        <item h="1" x="2"/>
        <item h="1" x="148"/>
        <item h="1" x="27"/>
        <item h="1" x="32"/>
        <item h="1" x="9"/>
        <item h="1" x="40"/>
        <item h="1" x="330"/>
        <item h="1" x="76"/>
        <item h="1" x="99"/>
        <item h="1" x="237"/>
        <item x="399"/>
        <item x="433"/>
        <item h="1" x="380"/>
        <item h="1" x="421"/>
        <item h="1" x="233"/>
        <item h="1" x="8"/>
        <item h="1" x="214"/>
        <item h="1" x="147"/>
        <item h="1" x="190"/>
        <item h="1" x="85"/>
        <item h="1" x="121"/>
        <item h="1" x="314"/>
        <item h="1" x="260"/>
        <item h="1" x="108"/>
        <item h="1" x="94"/>
        <item h="1" x="95"/>
        <item h="1" x="228"/>
        <item h="1" x="313"/>
        <item h="1" x="101"/>
        <item h="1" x="77"/>
        <item h="1" x="222"/>
        <item h="1" x="256"/>
        <item h="1" x="276"/>
        <item h="1" x="418"/>
        <item h="1" x="353"/>
        <item h="1" x="359"/>
        <item h="1" x="394"/>
        <item h="1" x="73"/>
        <item h="1" x="11"/>
        <item h="1" x="248"/>
        <item h="1" x="334"/>
        <item h="1" x="72"/>
        <item h="1" x="297"/>
        <item h="1" x="405"/>
        <item h="1" x="122"/>
        <item h="1" x="78"/>
        <item h="1" x="366"/>
        <item h="1" x="123"/>
        <item h="1" x="275"/>
        <item h="1" x="345"/>
        <item h="1" x="22"/>
        <item h="1" x="280"/>
        <item h="1" x="361"/>
        <item h="1" x="356"/>
        <item h="1" x="430"/>
        <item h="1" x="415"/>
        <item h="1" x="398"/>
        <item h="1" x="119"/>
        <item h="1" x="286"/>
        <item h="1" x="445"/>
        <item h="1" x="307"/>
        <item h="1" x="130"/>
        <item h="1" x="363"/>
        <item h="1" x="142"/>
        <item h="1" x="42"/>
        <item h="1" x="293"/>
        <item h="1" x="12"/>
        <item h="1" x="172"/>
        <item h="1" x="331"/>
        <item h="1" x="368"/>
        <item h="1" x="65"/>
        <item h="1" x="174"/>
        <item h="1" x="225"/>
        <item h="1" x="118"/>
        <item h="1" x="321"/>
        <item h="1" x="129"/>
        <item h="1" x="37"/>
        <item h="1" x="254"/>
        <item h="1" x="290"/>
        <item h="1" x="289"/>
        <item h="1" x="84"/>
        <item h="1" x="384"/>
        <item h="1" x="261"/>
        <item h="1" x="1"/>
        <item h="1" x="44"/>
        <item h="1" x="441"/>
        <item h="1" x="320"/>
        <item h="1" x="128"/>
        <item h="1" x="242"/>
        <item h="1" x="413"/>
        <item h="1" x="328"/>
        <item h="1" x="4"/>
        <item h="1" x="145"/>
        <item h="1" x="71"/>
        <item h="1" x="104"/>
        <item h="1" x="106"/>
        <item h="1" x="264"/>
        <item h="1" x="291"/>
        <item h="1" x="186"/>
        <item h="1" x="411"/>
        <item h="1" x="386"/>
        <item h="1" x="436"/>
        <item h="1" x="396"/>
        <item h="1" x="400"/>
        <item h="1" x="258"/>
        <item h="1" x="390"/>
        <item h="1" x="131"/>
        <item h="1" x="83"/>
        <item h="1" x="241"/>
        <item h="1" x="195"/>
        <item h="1" x="317"/>
        <item h="1" x="309"/>
        <item h="1" x="348"/>
        <item h="1" x="437"/>
        <item h="1" x="305"/>
        <item h="1" x="3"/>
        <item h="1" x="257"/>
        <item h="1" x="93"/>
        <item h="1" x="25"/>
        <item h="1" x="113"/>
        <item h="1" x="161"/>
        <item h="1" x="157"/>
        <item h="1" x="369"/>
        <item h="1" x="292"/>
        <item h="1" x="431"/>
        <item h="1" x="277"/>
        <item h="1" x="278"/>
        <item h="1" x="23"/>
        <item h="1" x="204"/>
        <item h="1" x="55"/>
        <item h="1" x="300"/>
        <item h="1" x="50"/>
        <item h="1" x="401"/>
        <item h="1" x="196"/>
        <item h="1" x="347"/>
        <item h="1" x="181"/>
        <item h="1" x="287"/>
        <item h="1" x="404"/>
        <item h="1" x="295"/>
        <item h="1" x="15"/>
        <item h="1" x="252"/>
        <item h="1" x="203"/>
        <item h="1" x="360"/>
        <item h="1" x="156"/>
        <item h="1" x="385"/>
        <item h="1" x="51"/>
        <item h="1" x="105"/>
        <item h="1" x="243"/>
        <item h="1" x="387"/>
        <item h="1" x="271"/>
        <item h="1" x="376"/>
        <item h="1" x="194"/>
        <item h="1" x="100"/>
        <item h="1" x="41"/>
        <item h="1" x="265"/>
        <item h="1" x="215"/>
        <item h="1" x="253"/>
        <item h="1" x="332"/>
        <item h="1" x="138"/>
        <item h="1" x="357"/>
        <item h="1" x="281"/>
        <item h="1" x="294"/>
        <item h="1" x="218"/>
        <item h="1" x="448"/>
        <item h="1" x="324"/>
        <item h="1" x="211"/>
        <item h="1" x="61"/>
        <item h="1" x="28"/>
        <item h="1" x="447"/>
        <item h="1" x="0"/>
        <item t="default"/>
      </items>
    </pivotField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8">
        <item x="2"/>
        <item x="3"/>
        <item x="1"/>
        <item x="0"/>
        <item x="6"/>
        <item x="4"/>
        <item x="5"/>
        <item t="default"/>
      </items>
    </pivotField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</pivotFields>
  <rowFields count="1">
    <field x="1"/>
  </rowFields>
  <rowItems count="6">
    <i>
      <x/>
    </i>
    <i>
      <x v="1"/>
    </i>
    <i>
      <x v="6"/>
    </i>
    <i>
      <x v="292"/>
    </i>
    <i>
      <x v="293"/>
    </i>
    <i t="grand">
      <x/>
    </i>
  </rowItems>
  <colItems count="1">
    <i/>
  </colItems>
  <dataFields count="1">
    <dataField name="Sum of Revenue" fld="10" baseField="0" baseItem="0" numFmtId="164"/>
  </dataFields>
  <formats count="1">
    <format dxfId="14">
      <pivotArea field="1" type="button" dataOnly="0" labelOnly="1" outline="0" axis="axisRow" fieldPosition="0"/>
    </format>
  </formats>
  <chartFormats count="4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EB83C-2265-4345-B694-3BA4DCB72170}" name="Sum of Profit to Profit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0:B14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8">
        <item x="2"/>
        <item x="3"/>
        <item x="1"/>
        <item x="0"/>
        <item x="6"/>
        <item x="4"/>
        <item x="5"/>
        <item t="default"/>
      </items>
    </pivotField>
    <pivotField compact="0" outline="0" showAll="0"/>
    <pivotField compact="0" numFmtId="164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 numFmtId="164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C3C17-745D-45B1-BFAB-3FE47F99EE5C}" name="Revenue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6" firstHeaderRow="1" firstDataRow="1" firstDataCol="1"/>
  <pivotFields count="15">
    <pivotField compact="0" outline="0" showAll="0"/>
    <pivotField compact="0" outline="0" showAll="0">
      <items count="453">
        <item x="408"/>
        <item x="304"/>
        <item h="1" x="340"/>
        <item h="1" x="255"/>
        <item h="1" x="48"/>
        <item h="1" x="322"/>
        <item x="165"/>
        <item h="1" x="410"/>
        <item h="1" x="428"/>
        <item h="1" x="371"/>
        <item h="1" x="227"/>
        <item h="1" x="373"/>
        <item h="1" x="283"/>
        <item h="1" x="446"/>
        <item h="1" x="395"/>
        <item h="1" x="362"/>
        <item h="1" x="149"/>
        <item h="1" x="67"/>
        <item h="1" x="188"/>
        <item h="1" x="169"/>
        <item h="1" x="39"/>
        <item h="1" x="230"/>
        <item h="1" x="443"/>
        <item h="1" x="82"/>
        <item h="1" x="288"/>
        <item h="1" x="327"/>
        <item h="1" x="426"/>
        <item h="1" x="344"/>
        <item h="1" x="66"/>
        <item h="1" x="160"/>
        <item h="1" x="337"/>
        <item h="1" x="191"/>
        <item h="1" x="432"/>
        <item h="1" x="36"/>
        <item h="1" x="164"/>
        <item h="1" x="54"/>
        <item h="1" x="299"/>
        <item h="1" x="158"/>
        <item h="1" x="316"/>
        <item h="1" x="134"/>
        <item h="1" x="346"/>
        <item h="1" x="438"/>
        <item h="1" x="7"/>
        <item h="1" x="444"/>
        <item h="1" x="89"/>
        <item h="1" x="110"/>
        <item h="1" x="236"/>
        <item h="1" x="383"/>
        <item h="1" x="47"/>
        <item h="1" x="339"/>
        <item h="1" x="282"/>
        <item h="1" x="5"/>
        <item h="1" x="245"/>
        <item h="1" x="216"/>
        <item h="1" x="97"/>
        <item h="1" x="450"/>
        <item h="1" x="115"/>
        <item h="1" x="52"/>
        <item h="1" x="30"/>
        <item h="1" x="420"/>
        <item h="1" x="391"/>
        <item h="1" x="231"/>
        <item h="1" x="45"/>
        <item h="1" x="91"/>
        <item h="1" x="266"/>
        <item h="1" x="112"/>
        <item h="1" x="155"/>
        <item h="1" x="333"/>
        <item h="1" x="53"/>
        <item h="1" x="117"/>
        <item h="1" x="372"/>
        <item h="1" x="367"/>
        <item h="1" x="422"/>
        <item h="1" x="176"/>
        <item h="1" x="144"/>
        <item h="1" x="220"/>
        <item h="1" x="159"/>
        <item h="1" x="135"/>
        <item h="1" x="127"/>
        <item h="1" x="167"/>
        <item h="1" x="318"/>
        <item h="1" x="312"/>
        <item h="1" x="234"/>
        <item h="1" x="319"/>
        <item h="1" x="175"/>
        <item h="1" x="137"/>
        <item h="1" x="349"/>
        <item h="1" x="96"/>
        <item h="1" x="187"/>
        <item h="1" x="262"/>
        <item h="1" x="364"/>
        <item h="1" x="86"/>
        <item h="1" x="10"/>
        <item h="1" x="409"/>
        <item h="1" x="205"/>
        <item h="1" x="146"/>
        <item h="1" x="335"/>
        <item h="1" x="18"/>
        <item h="1" x="435"/>
        <item h="1" x="68"/>
        <item h="1" x="379"/>
        <item h="1" x="26"/>
        <item h="1" x="189"/>
        <item h="1" x="417"/>
        <item h="1" x="17"/>
        <item h="1" x="132"/>
        <item h="1" x="449"/>
        <item h="1" x="326"/>
        <item h="1" x="377"/>
        <item h="1" x="140"/>
        <item h="1" x="69"/>
        <item h="1" x="193"/>
        <item h="1" x="62"/>
        <item h="1" x="49"/>
        <item h="1" x="56"/>
        <item h="1" x="173"/>
        <item h="1" x="285"/>
        <item h="1" x="150"/>
        <item h="1" x="81"/>
        <item h="1" x="109"/>
        <item h="1" x="269"/>
        <item h="1" x="238"/>
        <item h="1" x="343"/>
        <item h="1" x="24"/>
        <item h="1" x="439"/>
        <item h="1" x="308"/>
        <item h="1" x="298"/>
        <item h="1" x="407"/>
        <item h="1" x="124"/>
        <item h="1" x="406"/>
        <item h="1" x="21"/>
        <item h="1" x="163"/>
        <item h="1" x="179"/>
        <item h="1" x="170"/>
        <item h="1" x="143"/>
        <item h="1" x="302"/>
        <item h="1" x="306"/>
        <item h="1" x="414"/>
        <item h="1" x="133"/>
        <item h="1" x="273"/>
        <item h="1" x="192"/>
        <item h="1" x="342"/>
        <item h="1" x="198"/>
        <item h="1" x="434"/>
        <item h="1" x="207"/>
        <item h="1" x="171"/>
        <item h="1" x="416"/>
        <item h="1" x="284"/>
        <item h="1" x="35"/>
        <item h="1" x="427"/>
        <item h="1" x="70"/>
        <item h="1" x="268"/>
        <item h="1" x="213"/>
        <item h="1" x="166"/>
        <item h="1" x="154"/>
        <item h="1" x="90"/>
        <item h="1" x="239"/>
        <item h="1" x="103"/>
        <item h="1" x="378"/>
        <item h="1" x="246"/>
        <item h="1" x="114"/>
        <item h="1" x="80"/>
        <item h="1" x="141"/>
        <item h="1" x="247"/>
        <item h="1" x="201"/>
        <item h="1" x="152"/>
        <item h="1" x="59"/>
        <item h="1" x="375"/>
        <item h="1" x="381"/>
        <item h="1" x="98"/>
        <item h="1" x="336"/>
        <item h="1" x="153"/>
        <item h="1" x="425"/>
        <item h="1" x="64"/>
        <item h="1" x="199"/>
        <item h="1" x="338"/>
        <item h="1" x="226"/>
        <item h="1" x="125"/>
        <item h="1" x="92"/>
        <item h="1" x="223"/>
        <item h="1" x="370"/>
        <item h="1" x="60"/>
        <item h="1" x="229"/>
        <item h="1" x="402"/>
        <item h="1" x="197"/>
        <item h="1" x="296"/>
        <item h="1" x="74"/>
        <item h="1" x="429"/>
        <item h="1" x="310"/>
        <item h="1" x="16"/>
        <item h="1" x="63"/>
        <item h="1" x="329"/>
        <item h="1" x="14"/>
        <item h="1" x="442"/>
        <item h="1" x="423"/>
        <item h="1" x="424"/>
        <item h="1" x="440"/>
        <item h="1" x="126"/>
        <item h="1" x="33"/>
        <item h="1" x="403"/>
        <item h="1" x="178"/>
        <item h="1" x="393"/>
        <item h="1" x="270"/>
        <item h="1" x="451"/>
        <item h="1" x="354"/>
        <item h="1" x="38"/>
        <item h="1" x="88"/>
        <item h="1" x="6"/>
        <item h="1" x="120"/>
        <item h="1" x="209"/>
        <item h="1" x="274"/>
        <item h="1" x="139"/>
        <item h="1" x="183"/>
        <item h="1" x="412"/>
        <item h="1" x="244"/>
        <item h="1" x="351"/>
        <item h="1" x="87"/>
        <item h="1" x="200"/>
        <item h="1" x="136"/>
        <item h="1" x="350"/>
        <item h="1" x="240"/>
        <item h="1" x="301"/>
        <item h="1" x="249"/>
        <item h="1" x="151"/>
        <item h="1" x="382"/>
        <item h="1" x="206"/>
        <item h="1" x="341"/>
        <item h="1" x="182"/>
        <item h="1" x="202"/>
        <item h="1" x="46"/>
        <item h="1" x="388"/>
        <item h="1" x="224"/>
        <item h="1" x="251"/>
        <item h="1" x="180"/>
        <item h="1" x="210"/>
        <item h="1" x="267"/>
        <item h="1" x="374"/>
        <item h="1" x="355"/>
        <item h="1" x="29"/>
        <item h="1" x="34"/>
        <item h="1" x="259"/>
        <item h="1" x="419"/>
        <item h="1" x="358"/>
        <item h="1" x="232"/>
        <item h="1" x="352"/>
        <item h="1" x="397"/>
        <item h="1" x="392"/>
        <item h="1" x="212"/>
        <item h="1" x="219"/>
        <item h="1" x="325"/>
        <item h="1" x="79"/>
        <item h="1" x="323"/>
        <item h="1" x="58"/>
        <item h="1" x="13"/>
        <item h="1" x="20"/>
        <item h="1" x="19"/>
        <item h="1" x="311"/>
        <item h="1" x="107"/>
        <item h="1" x="31"/>
        <item h="1" x="168"/>
        <item h="1" x="57"/>
        <item h="1" x="389"/>
        <item h="1" x="185"/>
        <item h="1" x="315"/>
        <item h="1" x="303"/>
        <item h="1" x="221"/>
        <item h="1" x="116"/>
        <item h="1" x="250"/>
        <item h="1" x="162"/>
        <item h="1" x="217"/>
        <item h="1" x="177"/>
        <item h="1" x="102"/>
        <item h="1" x="263"/>
        <item h="1" x="75"/>
        <item h="1" x="272"/>
        <item h="1" x="111"/>
        <item h="1" x="43"/>
        <item h="1" x="279"/>
        <item h="1" x="184"/>
        <item h="1" x="208"/>
        <item h="1" x="235"/>
        <item h="1" x="365"/>
        <item h="1" x="2"/>
        <item h="1" x="148"/>
        <item h="1" x="27"/>
        <item h="1" x="32"/>
        <item h="1" x="9"/>
        <item h="1" x="40"/>
        <item h="1" x="330"/>
        <item h="1" x="76"/>
        <item h="1" x="99"/>
        <item h="1" x="237"/>
        <item x="399"/>
        <item x="433"/>
        <item h="1" x="380"/>
        <item h="1" x="421"/>
        <item h="1" x="233"/>
        <item h="1" x="8"/>
        <item h="1" x="214"/>
        <item h="1" x="147"/>
        <item h="1" x="190"/>
        <item h="1" x="85"/>
        <item h="1" x="121"/>
        <item h="1" x="314"/>
        <item h="1" x="260"/>
        <item h="1" x="108"/>
        <item h="1" x="94"/>
        <item h="1" x="95"/>
        <item h="1" x="228"/>
        <item h="1" x="313"/>
        <item h="1" x="101"/>
        <item h="1" x="77"/>
        <item h="1" x="222"/>
        <item h="1" x="256"/>
        <item h="1" x="276"/>
        <item h="1" x="418"/>
        <item h="1" x="353"/>
        <item h="1" x="359"/>
        <item h="1" x="394"/>
        <item h="1" x="73"/>
        <item h="1" x="11"/>
        <item h="1" x="248"/>
        <item h="1" x="334"/>
        <item h="1" x="72"/>
        <item h="1" x="297"/>
        <item h="1" x="405"/>
        <item h="1" x="122"/>
        <item h="1" x="78"/>
        <item h="1" x="366"/>
        <item h="1" x="123"/>
        <item h="1" x="275"/>
        <item h="1" x="345"/>
        <item h="1" x="22"/>
        <item h="1" x="280"/>
        <item h="1" x="361"/>
        <item h="1" x="356"/>
        <item h="1" x="430"/>
        <item h="1" x="415"/>
        <item h="1" x="398"/>
        <item h="1" x="119"/>
        <item h="1" x="286"/>
        <item h="1" x="445"/>
        <item h="1" x="307"/>
        <item h="1" x="130"/>
        <item h="1" x="363"/>
        <item h="1" x="142"/>
        <item h="1" x="42"/>
        <item h="1" x="293"/>
        <item h="1" x="12"/>
        <item h="1" x="172"/>
        <item h="1" x="331"/>
        <item h="1" x="368"/>
        <item h="1" x="65"/>
        <item h="1" x="174"/>
        <item h="1" x="225"/>
        <item h="1" x="118"/>
        <item h="1" x="321"/>
        <item h="1" x="129"/>
        <item h="1" x="37"/>
        <item h="1" x="254"/>
        <item h="1" x="290"/>
        <item h="1" x="289"/>
        <item h="1" x="84"/>
        <item h="1" x="384"/>
        <item h="1" x="261"/>
        <item h="1" x="1"/>
        <item h="1" x="44"/>
        <item h="1" x="441"/>
        <item h="1" x="320"/>
        <item h="1" x="128"/>
        <item h="1" x="242"/>
        <item h="1" x="413"/>
        <item h="1" x="328"/>
        <item h="1" x="4"/>
        <item h="1" x="145"/>
        <item h="1" x="71"/>
        <item h="1" x="104"/>
        <item h="1" x="106"/>
        <item h="1" x="264"/>
        <item h="1" x="291"/>
        <item h="1" x="186"/>
        <item h="1" x="411"/>
        <item h="1" x="386"/>
        <item h="1" x="436"/>
        <item h="1" x="396"/>
        <item h="1" x="400"/>
        <item h="1" x="258"/>
        <item h="1" x="390"/>
        <item h="1" x="131"/>
        <item h="1" x="83"/>
        <item h="1" x="241"/>
        <item h="1" x="195"/>
        <item h="1" x="317"/>
        <item h="1" x="309"/>
        <item h="1" x="348"/>
        <item h="1" x="437"/>
        <item h="1" x="305"/>
        <item h="1" x="3"/>
        <item h="1" x="257"/>
        <item h="1" x="93"/>
        <item h="1" x="25"/>
        <item h="1" x="113"/>
        <item h="1" x="161"/>
        <item h="1" x="157"/>
        <item h="1" x="369"/>
        <item h="1" x="292"/>
        <item h="1" x="431"/>
        <item h="1" x="277"/>
        <item h="1" x="278"/>
        <item h="1" x="23"/>
        <item h="1" x="204"/>
        <item h="1" x="55"/>
        <item h="1" x="300"/>
        <item h="1" x="50"/>
        <item h="1" x="401"/>
        <item h="1" x="196"/>
        <item h="1" x="347"/>
        <item h="1" x="181"/>
        <item h="1" x="287"/>
        <item h="1" x="404"/>
        <item h="1" x="295"/>
        <item h="1" x="15"/>
        <item h="1" x="252"/>
        <item h="1" x="203"/>
        <item h="1" x="360"/>
        <item h="1" x="156"/>
        <item h="1" x="385"/>
        <item h="1" x="51"/>
        <item h="1" x="105"/>
        <item h="1" x="243"/>
        <item h="1" x="387"/>
        <item h="1" x="271"/>
        <item h="1" x="376"/>
        <item h="1" x="194"/>
        <item h="1" x="100"/>
        <item h="1" x="41"/>
        <item h="1" x="265"/>
        <item h="1" x="215"/>
        <item h="1" x="253"/>
        <item h="1" x="332"/>
        <item h="1" x="138"/>
        <item h="1" x="357"/>
        <item h="1" x="281"/>
        <item h="1" x="294"/>
        <item h="1" x="218"/>
        <item h="1" x="448"/>
        <item h="1" x="324"/>
        <item h="1" x="211"/>
        <item h="1" x="61"/>
        <item h="1" x="28"/>
        <item h="1" x="447"/>
        <item h="1" x="0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8">
        <item x="2"/>
        <item x="3"/>
        <item x="1"/>
        <item x="0"/>
        <item x="6"/>
        <item x="4"/>
        <item x="5"/>
        <item t="default"/>
      </items>
    </pivotField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0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Date" xr10:uid="{53934FC9-824B-47F2-9778-7788FB8B2727}" sourceName="Order_Date">
  <pivotTables>
    <pivotTable tabId="4" name="PivotTable8"/>
    <pivotTable tabId="4" name="Revenue"/>
  </pivotTables>
  <data>
    <tabular pivotCacheId="1892394052">
      <items count="452">
        <i x="408" s="1"/>
        <i x="304" s="1"/>
        <i x="340"/>
        <i x="255"/>
        <i x="48"/>
        <i x="322"/>
        <i x="165" s="1"/>
        <i x="410"/>
        <i x="428"/>
        <i x="371"/>
        <i x="227"/>
        <i x="373"/>
        <i x="283"/>
        <i x="446"/>
        <i x="395"/>
        <i x="362"/>
        <i x="149"/>
        <i x="67"/>
        <i x="188"/>
        <i x="169"/>
        <i x="39"/>
        <i x="230"/>
        <i x="443"/>
        <i x="82"/>
        <i x="288"/>
        <i x="327"/>
        <i x="426"/>
        <i x="344"/>
        <i x="66"/>
        <i x="160"/>
        <i x="337"/>
        <i x="191"/>
        <i x="432"/>
        <i x="36"/>
        <i x="164"/>
        <i x="54"/>
        <i x="299"/>
        <i x="158"/>
        <i x="316"/>
        <i x="134"/>
        <i x="346"/>
        <i x="438"/>
        <i x="7"/>
        <i x="444"/>
        <i x="89"/>
        <i x="110"/>
        <i x="236"/>
        <i x="383"/>
        <i x="47"/>
        <i x="339"/>
        <i x="282"/>
        <i x="5"/>
        <i x="245"/>
        <i x="216"/>
        <i x="97"/>
        <i x="450"/>
        <i x="115"/>
        <i x="52"/>
        <i x="30"/>
        <i x="420"/>
        <i x="391"/>
        <i x="231"/>
        <i x="45"/>
        <i x="91"/>
        <i x="266"/>
        <i x="112"/>
        <i x="155"/>
        <i x="333"/>
        <i x="53"/>
        <i x="117"/>
        <i x="372"/>
        <i x="367"/>
        <i x="422"/>
        <i x="176"/>
        <i x="144"/>
        <i x="220"/>
        <i x="159"/>
        <i x="135"/>
        <i x="127"/>
        <i x="167"/>
        <i x="318"/>
        <i x="312"/>
        <i x="234"/>
        <i x="319"/>
        <i x="175"/>
        <i x="137"/>
        <i x="349"/>
        <i x="96"/>
        <i x="187"/>
        <i x="262"/>
        <i x="364"/>
        <i x="86"/>
        <i x="10"/>
        <i x="409"/>
        <i x="205"/>
        <i x="146"/>
        <i x="335"/>
        <i x="18"/>
        <i x="435"/>
        <i x="68"/>
        <i x="379"/>
        <i x="26"/>
        <i x="189"/>
        <i x="417"/>
        <i x="17"/>
        <i x="132"/>
        <i x="449"/>
        <i x="326"/>
        <i x="377"/>
        <i x="140"/>
        <i x="69"/>
        <i x="193"/>
        <i x="62"/>
        <i x="49"/>
        <i x="56"/>
        <i x="173"/>
        <i x="285"/>
        <i x="150"/>
        <i x="81"/>
        <i x="109"/>
        <i x="269"/>
        <i x="238"/>
        <i x="343"/>
        <i x="24"/>
        <i x="439"/>
        <i x="308"/>
        <i x="298"/>
        <i x="407"/>
        <i x="124"/>
        <i x="406"/>
        <i x="21"/>
        <i x="163"/>
        <i x="179"/>
        <i x="170"/>
        <i x="143"/>
        <i x="302"/>
        <i x="306"/>
        <i x="414"/>
        <i x="133"/>
        <i x="273"/>
        <i x="192"/>
        <i x="342"/>
        <i x="198"/>
        <i x="434"/>
        <i x="207"/>
        <i x="171"/>
        <i x="416"/>
        <i x="284"/>
        <i x="35"/>
        <i x="427"/>
        <i x="70"/>
        <i x="268"/>
        <i x="213"/>
        <i x="166"/>
        <i x="154"/>
        <i x="90"/>
        <i x="239"/>
        <i x="103"/>
        <i x="378"/>
        <i x="246"/>
        <i x="114"/>
        <i x="80"/>
        <i x="141"/>
        <i x="247"/>
        <i x="201"/>
        <i x="152"/>
        <i x="59"/>
        <i x="375"/>
        <i x="381"/>
        <i x="98"/>
        <i x="336"/>
        <i x="153"/>
        <i x="425"/>
        <i x="64"/>
        <i x="199"/>
        <i x="338"/>
        <i x="226"/>
        <i x="125"/>
        <i x="92"/>
        <i x="223"/>
        <i x="370"/>
        <i x="60"/>
        <i x="229"/>
        <i x="402"/>
        <i x="197"/>
        <i x="296"/>
        <i x="74"/>
        <i x="429"/>
        <i x="310"/>
        <i x="16"/>
        <i x="63"/>
        <i x="329"/>
        <i x="14"/>
        <i x="442"/>
        <i x="423"/>
        <i x="424"/>
        <i x="440"/>
        <i x="126"/>
        <i x="33"/>
        <i x="403"/>
        <i x="178"/>
        <i x="393"/>
        <i x="270"/>
        <i x="451"/>
        <i x="354"/>
        <i x="38"/>
        <i x="88"/>
        <i x="6"/>
        <i x="120"/>
        <i x="209"/>
        <i x="274"/>
        <i x="139"/>
        <i x="183"/>
        <i x="412"/>
        <i x="244"/>
        <i x="351"/>
        <i x="87"/>
        <i x="200"/>
        <i x="136"/>
        <i x="350"/>
        <i x="240"/>
        <i x="301"/>
        <i x="249"/>
        <i x="151"/>
        <i x="382"/>
        <i x="206"/>
        <i x="341"/>
        <i x="182"/>
        <i x="202"/>
        <i x="46"/>
        <i x="388"/>
        <i x="224"/>
        <i x="251"/>
        <i x="180"/>
        <i x="210"/>
        <i x="267"/>
        <i x="374"/>
        <i x="355"/>
        <i x="29"/>
        <i x="34"/>
        <i x="259"/>
        <i x="419"/>
        <i x="358"/>
        <i x="232"/>
        <i x="352"/>
        <i x="397"/>
        <i x="392"/>
        <i x="212"/>
        <i x="219"/>
        <i x="325"/>
        <i x="79"/>
        <i x="323"/>
        <i x="58"/>
        <i x="13"/>
        <i x="20"/>
        <i x="19"/>
        <i x="311"/>
        <i x="107"/>
        <i x="31"/>
        <i x="168"/>
        <i x="57"/>
        <i x="389"/>
        <i x="185"/>
        <i x="315"/>
        <i x="303"/>
        <i x="221"/>
        <i x="116"/>
        <i x="250"/>
        <i x="162"/>
        <i x="217"/>
        <i x="177"/>
        <i x="102"/>
        <i x="263"/>
        <i x="75"/>
        <i x="272"/>
        <i x="111"/>
        <i x="43"/>
        <i x="279"/>
        <i x="184"/>
        <i x="208"/>
        <i x="235"/>
        <i x="365"/>
        <i x="2"/>
        <i x="148"/>
        <i x="27"/>
        <i x="32"/>
        <i x="9"/>
        <i x="40"/>
        <i x="330"/>
        <i x="76"/>
        <i x="99"/>
        <i x="237"/>
        <i x="399" s="1"/>
        <i x="433" s="1"/>
        <i x="380"/>
        <i x="421"/>
        <i x="233"/>
        <i x="8"/>
        <i x="214"/>
        <i x="147"/>
        <i x="190"/>
        <i x="85"/>
        <i x="121"/>
        <i x="314"/>
        <i x="260"/>
        <i x="108"/>
        <i x="94"/>
        <i x="95"/>
        <i x="228"/>
        <i x="313"/>
        <i x="101"/>
        <i x="77"/>
        <i x="222"/>
        <i x="256"/>
        <i x="276"/>
        <i x="418"/>
        <i x="353"/>
        <i x="359"/>
        <i x="394"/>
        <i x="73"/>
        <i x="11"/>
        <i x="248"/>
        <i x="334"/>
        <i x="72"/>
        <i x="297"/>
        <i x="405"/>
        <i x="122"/>
        <i x="78"/>
        <i x="366"/>
        <i x="123"/>
        <i x="275"/>
        <i x="345"/>
        <i x="22"/>
        <i x="280"/>
        <i x="361"/>
        <i x="356"/>
        <i x="430"/>
        <i x="415"/>
        <i x="398"/>
        <i x="119"/>
        <i x="286"/>
        <i x="445"/>
        <i x="307"/>
        <i x="130"/>
        <i x="363"/>
        <i x="142"/>
        <i x="42"/>
        <i x="293"/>
        <i x="12"/>
        <i x="172"/>
        <i x="331"/>
        <i x="368"/>
        <i x="65"/>
        <i x="174"/>
        <i x="225"/>
        <i x="118"/>
        <i x="321"/>
        <i x="129"/>
        <i x="37"/>
        <i x="254"/>
        <i x="290"/>
        <i x="289"/>
        <i x="84"/>
        <i x="384"/>
        <i x="261"/>
        <i x="1"/>
        <i x="44"/>
        <i x="441"/>
        <i x="320"/>
        <i x="128"/>
        <i x="242"/>
        <i x="413"/>
        <i x="328"/>
        <i x="4"/>
        <i x="145"/>
        <i x="71"/>
        <i x="104"/>
        <i x="106"/>
        <i x="264"/>
        <i x="291"/>
        <i x="186"/>
        <i x="411"/>
        <i x="386"/>
        <i x="436"/>
        <i x="396"/>
        <i x="400"/>
        <i x="258"/>
        <i x="390"/>
        <i x="131"/>
        <i x="83"/>
        <i x="241"/>
        <i x="195"/>
        <i x="317"/>
        <i x="309"/>
        <i x="348"/>
        <i x="437"/>
        <i x="305"/>
        <i x="3"/>
        <i x="257"/>
        <i x="93"/>
        <i x="25"/>
        <i x="113"/>
        <i x="161"/>
        <i x="157"/>
        <i x="369"/>
        <i x="292"/>
        <i x="431"/>
        <i x="277"/>
        <i x="278"/>
        <i x="23"/>
        <i x="204"/>
        <i x="55"/>
        <i x="300"/>
        <i x="50"/>
        <i x="401"/>
        <i x="196"/>
        <i x="347"/>
        <i x="181"/>
        <i x="287"/>
        <i x="404"/>
        <i x="295"/>
        <i x="15"/>
        <i x="252"/>
        <i x="203"/>
        <i x="360"/>
        <i x="156"/>
        <i x="385"/>
        <i x="51"/>
        <i x="105"/>
        <i x="243"/>
        <i x="387"/>
        <i x="271"/>
        <i x="376"/>
        <i x="194"/>
        <i x="100"/>
        <i x="41"/>
        <i x="265"/>
        <i x="215"/>
        <i x="253"/>
        <i x="332"/>
        <i x="138"/>
        <i x="357"/>
        <i x="281"/>
        <i x="294"/>
        <i x="218"/>
        <i x="448"/>
        <i x="324"/>
        <i x="211"/>
        <i x="61"/>
        <i x="28"/>
        <i x="447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_Date" xr10:uid="{951A10A4-4AD4-47B7-8C6D-D10566478751}" cache="Slicer_Order_Date" caption="Order_Date" startItem="5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5AC84-A3E4-42D3-BFB2-64111839E2AC}" name="SalesData" displayName="SalesData" ref="A1:O956" totalsRowShown="0">
  <autoFilter ref="A1:O956" xr:uid="{D635AC84-A3E4-42D3-BFB2-64111839E2AC}"/>
  <tableColumns count="15">
    <tableColumn id="1" xr3:uid="{9724257C-900F-4CFB-9791-80CB70FE96E0}" name="Order_ID"/>
    <tableColumn id="2" xr3:uid="{5EE662A7-651F-45E8-9853-CAC23073D656}" name="Order_Date" dataDxfId="13"/>
    <tableColumn id="3" xr3:uid="{6964B160-9F81-4BAF-8BE7-696BC4361CC8}" name="Customer_Name" dataDxfId="12"/>
    <tableColumn id="4" xr3:uid="{EDF45F28-5030-4A58-BE50-86A93CB59C24}" name="Region" dataDxfId="11"/>
    <tableColumn id="5" xr3:uid="{AC62D42E-E743-43E5-B221-8DF5EB47A091}" name="Category" dataDxfId="10"/>
    <tableColumn id="6" xr3:uid="{95641C37-3E19-45F0-80B1-630DDB12D8AF}" name="Product" dataDxfId="9"/>
    <tableColumn id="7" xr3:uid="{99820F1F-FB84-487F-BE9F-AE9EF0A353C9}" name="Salesperson" dataDxfId="8"/>
    <tableColumn id="8" xr3:uid="{6CD6D818-4B96-4F14-9D91-3DC4116823E0}" name="Quantity" dataDxfId="7"/>
    <tableColumn id="9" xr3:uid="{978E2330-DAD9-424F-96A6-CA422F2EEE0B}" name="Unit_Price" dataDxfId="6"/>
    <tableColumn id="10" xr3:uid="{4CEED800-9AFB-45D4-B57B-E4E78DDAC4FB}" name="Discount_%" dataDxfId="5"/>
    <tableColumn id="11" xr3:uid="{7BE65380-5F53-4674-A84D-0280F26DBAC6}" name="Revenue" dataDxfId="4"/>
    <tableColumn id="12" xr3:uid="{F397FB69-F745-42A5-848F-44F6795A445C}" name="Cost" dataDxfId="3"/>
    <tableColumn id="13" xr3:uid="{BEC0F9CE-18B3-4978-82F2-86444892D10F}" name="Profit" dataDxfId="2"/>
    <tableColumn id="14" xr3:uid="{8C4179AF-D583-447D-9193-B2A0C958505E}" name="Payment_Method" dataDxfId="1"/>
    <tableColumn id="15" xr3:uid="{EE86EA66-0614-4868-A99C-A3C1106D129C}" name="Customer_Rating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52A8-9EF0-408A-AC6D-08B456E43037}">
  <dimension ref="A1:G18"/>
  <sheetViews>
    <sheetView showGridLines="0" workbookViewId="0">
      <selection activeCell="J10" sqref="J10"/>
    </sheetView>
  </sheetViews>
  <sheetFormatPr defaultRowHeight="15"/>
  <cols>
    <col min="1" max="1" width="9.140625" style="14"/>
    <col min="2" max="2" width="30" style="14" customWidth="1"/>
    <col min="3" max="3" width="35.140625" customWidth="1"/>
  </cols>
  <sheetData>
    <row r="1" spans="1:7">
      <c r="A1" s="30" t="s">
        <v>0</v>
      </c>
      <c r="B1" s="30"/>
      <c r="C1" s="30"/>
    </row>
    <row r="2" spans="1:7">
      <c r="A2" s="30"/>
      <c r="B2" s="30"/>
      <c r="C2" s="30"/>
    </row>
    <row r="4" spans="1:7">
      <c r="A4" s="28" t="s">
        <v>1</v>
      </c>
      <c r="B4" s="28" t="s">
        <v>2</v>
      </c>
      <c r="C4" s="28" t="s">
        <v>3</v>
      </c>
      <c r="D4" s="19"/>
    </row>
    <row r="5" spans="1:7" ht="30.75">
      <c r="A5" s="14">
        <v>1</v>
      </c>
      <c r="B5" s="29" t="s">
        <v>4</v>
      </c>
      <c r="C5" t="s">
        <v>5</v>
      </c>
    </row>
    <row r="6" spans="1:7" ht="30.75">
      <c r="A6" s="14">
        <v>2</v>
      </c>
      <c r="B6" s="10" t="s">
        <v>6</v>
      </c>
      <c r="C6" s="10" t="s">
        <v>7</v>
      </c>
    </row>
    <row r="7" spans="1:7">
      <c r="A7" s="14">
        <v>3</v>
      </c>
      <c r="B7" s="10" t="s">
        <v>8</v>
      </c>
      <c r="C7" t="s">
        <v>9</v>
      </c>
    </row>
    <row r="8" spans="1:7" ht="30.75">
      <c r="A8" s="14">
        <v>4</v>
      </c>
      <c r="B8" s="10" t="s">
        <v>10</v>
      </c>
      <c r="C8" s="5" t="s">
        <v>11</v>
      </c>
    </row>
    <row r="9" spans="1:7" ht="30.75">
      <c r="A9" s="14">
        <v>5</v>
      </c>
      <c r="B9" s="29" t="s">
        <v>12</v>
      </c>
      <c r="C9" t="s">
        <v>13</v>
      </c>
    </row>
    <row r="10" spans="1:7" ht="30.75">
      <c r="A10" s="14">
        <v>6</v>
      </c>
      <c r="B10" s="15" t="s">
        <v>14</v>
      </c>
      <c r="C10" s="5" t="s">
        <v>15</v>
      </c>
    </row>
    <row r="11" spans="1:7" ht="30.75">
      <c r="A11" s="14">
        <v>7</v>
      </c>
      <c r="B11" s="10" t="s">
        <v>16</v>
      </c>
      <c r="C11" s="10" t="s">
        <v>17</v>
      </c>
    </row>
    <row r="12" spans="1:7">
      <c r="A12" s="14">
        <v>8</v>
      </c>
      <c r="B12" s="10" t="s">
        <v>18</v>
      </c>
      <c r="C12" s="34" t="s">
        <v>19</v>
      </c>
    </row>
    <row r="13" spans="1:7">
      <c r="A13" s="14">
        <v>9</v>
      </c>
      <c r="B13" s="10" t="s">
        <v>20</v>
      </c>
      <c r="C13" s="5" t="s">
        <v>21</v>
      </c>
    </row>
    <row r="14" spans="1:7" ht="30.75">
      <c r="A14" s="14">
        <v>10</v>
      </c>
      <c r="B14" s="29" t="s">
        <v>22</v>
      </c>
      <c r="C14" s="5" t="s">
        <v>23</v>
      </c>
    </row>
    <row r="15" spans="1:7">
      <c r="A15" s="33" t="s">
        <v>24</v>
      </c>
      <c r="B15" s="33"/>
      <c r="C15" s="33"/>
      <c r="D15" s="33"/>
      <c r="E15" s="33"/>
      <c r="F15" s="33"/>
      <c r="G15" s="33"/>
    </row>
    <row r="16" spans="1:7">
      <c r="A16" s="33"/>
      <c r="B16" s="33"/>
      <c r="C16" s="33"/>
      <c r="D16" s="33"/>
      <c r="E16" s="33"/>
      <c r="F16" s="33"/>
      <c r="G16" s="33"/>
    </row>
    <row r="17" spans="1:7">
      <c r="A17" s="33"/>
      <c r="B17" s="33"/>
      <c r="C17" s="33"/>
      <c r="D17" s="33"/>
      <c r="E17" s="33"/>
      <c r="F17" s="33"/>
      <c r="G17" s="33"/>
    </row>
    <row r="18" spans="1:7">
      <c r="A18" s="33"/>
      <c r="B18" s="33"/>
      <c r="C18" s="33"/>
      <c r="D18" s="33"/>
      <c r="E18" s="33"/>
      <c r="F18" s="33"/>
      <c r="G18" s="33"/>
    </row>
  </sheetData>
  <mergeCells count="2">
    <mergeCell ref="A15:G18"/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16D6-87FA-4B04-96D5-689C57009508}">
  <dimension ref="A1:H19"/>
  <sheetViews>
    <sheetView showGridLines="0" tabSelected="1" workbookViewId="0">
      <selection sqref="A1:H2"/>
    </sheetView>
  </sheetViews>
  <sheetFormatPr defaultRowHeight="15"/>
  <cols>
    <col min="1" max="1" width="15" style="20" customWidth="1"/>
    <col min="2" max="3" width="9.140625" style="20"/>
    <col min="4" max="4" width="1.140625" style="20" customWidth="1"/>
    <col min="5" max="6" width="9.140625" style="20"/>
    <col min="7" max="7" width="9" style="20" customWidth="1"/>
    <col min="8" max="8" width="0.5703125" style="20" customWidth="1"/>
    <col min="9" max="16384" width="9.140625" style="20"/>
  </cols>
  <sheetData>
    <row r="1" spans="1:8">
      <c r="A1" s="36" t="s">
        <v>25</v>
      </c>
      <c r="B1" s="37"/>
      <c r="C1" s="37"/>
      <c r="D1" s="37"/>
      <c r="E1" s="37"/>
      <c r="F1" s="37"/>
      <c r="G1" s="37"/>
      <c r="H1" s="37"/>
    </row>
    <row r="2" spans="1:8">
      <c r="A2" s="37"/>
      <c r="B2" s="37"/>
      <c r="C2" s="37"/>
      <c r="D2" s="37"/>
      <c r="E2" s="37"/>
      <c r="F2" s="37"/>
      <c r="G2" s="37"/>
      <c r="H2" s="37"/>
    </row>
    <row r="3" spans="1:8" ht="17.25" customHeight="1"/>
    <row r="4" spans="1:8">
      <c r="A4" s="24" t="s">
        <v>26</v>
      </c>
      <c r="B4" s="24"/>
      <c r="C4" s="24"/>
      <c r="E4" s="23" t="s">
        <v>27</v>
      </c>
      <c r="F4" s="23"/>
      <c r="G4" s="23"/>
    </row>
    <row r="5" spans="1:8">
      <c r="A5" s="24"/>
      <c r="B5" s="24"/>
      <c r="C5" s="24"/>
      <c r="E5" s="23"/>
      <c r="F5" s="23"/>
      <c r="G5" s="23"/>
    </row>
    <row r="6" spans="1:8">
      <c r="A6" s="22">
        <f>'Analysis '!B3</f>
        <v>7635603.5</v>
      </c>
      <c r="B6" s="22"/>
      <c r="C6" s="22"/>
      <c r="E6" s="22">
        <f>'Analysis '!B4</f>
        <v>2277006</v>
      </c>
      <c r="F6" s="22"/>
      <c r="G6" s="22"/>
    </row>
    <row r="7" spans="1:8">
      <c r="A7" s="22"/>
      <c r="B7" s="22"/>
      <c r="C7" s="22"/>
      <c r="E7" s="22"/>
      <c r="F7" s="22"/>
      <c r="G7" s="22"/>
    </row>
    <row r="9" spans="1:8">
      <c r="A9" s="25" t="s">
        <v>28</v>
      </c>
      <c r="B9" s="23"/>
      <c r="C9" s="23"/>
      <c r="E9" s="23" t="s">
        <v>29</v>
      </c>
      <c r="F9" s="23"/>
      <c r="G9" s="23"/>
    </row>
    <row r="10" spans="1:8">
      <c r="A10" s="23"/>
      <c r="B10" s="23"/>
      <c r="C10" s="23"/>
      <c r="E10" s="23"/>
      <c r="F10" s="23"/>
      <c r="G10" s="23"/>
    </row>
    <row r="11" spans="1:8">
      <c r="A11" s="22">
        <f>'Analysis '!B5</f>
        <v>7995.3963350785343</v>
      </c>
      <c r="B11" s="22"/>
      <c r="C11" s="22"/>
      <c r="D11" s="31"/>
      <c r="E11" s="22">
        <f>'Analysis '!B6</f>
        <v>2384.2994764397904</v>
      </c>
      <c r="F11" s="22"/>
      <c r="G11" s="22"/>
    </row>
    <row r="12" spans="1:8">
      <c r="A12" s="22"/>
      <c r="B12" s="22"/>
      <c r="C12" s="22"/>
      <c r="D12" s="31"/>
      <c r="E12" s="22"/>
      <c r="F12" s="22"/>
      <c r="G12" s="22"/>
    </row>
    <row r="13" spans="1:8">
      <c r="A13" s="31"/>
      <c r="B13" s="31"/>
      <c r="C13" s="31"/>
      <c r="D13" s="31"/>
      <c r="E13" s="31"/>
      <c r="F13" s="31"/>
      <c r="G13" s="31"/>
    </row>
    <row r="14" spans="1:8">
      <c r="A14" s="27" t="s">
        <v>30</v>
      </c>
      <c r="B14" s="22"/>
      <c r="C14" s="22"/>
      <c r="D14" s="31"/>
      <c r="E14" s="26" t="s">
        <v>31</v>
      </c>
      <c r="F14" s="22"/>
      <c r="G14" s="22"/>
    </row>
    <row r="15" spans="1:8">
      <c r="A15" s="22"/>
      <c r="B15" s="22"/>
      <c r="C15" s="22"/>
      <c r="D15" s="31"/>
      <c r="E15" s="22"/>
      <c r="F15" s="22"/>
      <c r="G15" s="22"/>
    </row>
    <row r="16" spans="1:8">
      <c r="A16" s="22">
        <f>'Analysis '!B7</f>
        <v>29850</v>
      </c>
      <c r="B16" s="22"/>
      <c r="C16" s="22"/>
      <c r="D16" s="31"/>
      <c r="E16" s="35">
        <f>'Analysis '!B9</f>
        <v>955</v>
      </c>
      <c r="F16" s="35"/>
      <c r="G16" s="35"/>
    </row>
    <row r="17" spans="1:7">
      <c r="A17" s="22"/>
      <c r="B17" s="22"/>
      <c r="C17" s="22"/>
      <c r="D17" s="31"/>
      <c r="E17" s="35"/>
      <c r="F17" s="35"/>
      <c r="G17" s="35"/>
    </row>
    <row r="19" spans="1:7">
      <c r="A19" s="32"/>
    </row>
  </sheetData>
  <mergeCells count="13">
    <mergeCell ref="A16:C17"/>
    <mergeCell ref="E14:G15"/>
    <mergeCell ref="E16:G17"/>
    <mergeCell ref="A9:C10"/>
    <mergeCell ref="A11:C12"/>
    <mergeCell ref="E9:G10"/>
    <mergeCell ref="E11:G12"/>
    <mergeCell ref="A14:C15"/>
    <mergeCell ref="A1:H2"/>
    <mergeCell ref="A4:C5"/>
    <mergeCell ref="A6:C7"/>
    <mergeCell ref="E4:G5"/>
    <mergeCell ref="E6:G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5744-E77C-4695-92B7-D9FE19156B71}">
  <dimension ref="A1:O24"/>
  <sheetViews>
    <sheetView workbookViewId="0">
      <selection activeCell="D16" sqref="D16"/>
    </sheetView>
  </sheetViews>
  <sheetFormatPr defaultRowHeight="15"/>
  <cols>
    <col min="1" max="1" width="11.42578125" customWidth="1"/>
    <col min="2" max="3" width="15.28515625" bestFit="1" customWidth="1"/>
    <col min="7" max="7" width="11.42578125" bestFit="1" customWidth="1"/>
    <col min="8" max="8" width="15.28515625" bestFit="1" customWidth="1"/>
    <col min="14" max="14" width="20.140625" bestFit="1" customWidth="1"/>
    <col min="15" max="15" width="15.28515625" bestFit="1" customWidth="1"/>
  </cols>
  <sheetData>
    <row r="1" spans="1:15">
      <c r="A1" s="12" t="s">
        <v>32</v>
      </c>
      <c r="B1" t="s">
        <v>33</v>
      </c>
      <c r="G1" s="12" t="s">
        <v>34</v>
      </c>
      <c r="H1" t="s">
        <v>33</v>
      </c>
      <c r="N1" s="12" t="s">
        <v>35</v>
      </c>
      <c r="O1" t="s">
        <v>33</v>
      </c>
    </row>
    <row r="2" spans="1:15">
      <c r="A2" t="s">
        <v>36</v>
      </c>
      <c r="B2" s="4">
        <v>4560</v>
      </c>
      <c r="G2" t="s">
        <v>37</v>
      </c>
      <c r="H2" s="4">
        <v>658896</v>
      </c>
      <c r="N2" t="s">
        <v>38</v>
      </c>
      <c r="O2" s="4">
        <v>1975969</v>
      </c>
    </row>
    <row r="3" spans="1:15">
      <c r="A3" t="s">
        <v>39</v>
      </c>
      <c r="B3" s="4">
        <v>6675</v>
      </c>
      <c r="G3" t="s">
        <v>40</v>
      </c>
      <c r="H3" s="4">
        <v>600261.5</v>
      </c>
      <c r="N3" t="s">
        <v>41</v>
      </c>
      <c r="O3" s="4">
        <v>1662142</v>
      </c>
    </row>
    <row r="4" spans="1:15">
      <c r="A4" t="s">
        <v>42</v>
      </c>
      <c r="B4" s="4">
        <v>23110</v>
      </c>
      <c r="G4" t="s">
        <v>43</v>
      </c>
      <c r="H4" s="4">
        <v>602664.5</v>
      </c>
      <c r="N4" t="s">
        <v>44</v>
      </c>
      <c r="O4" s="4">
        <v>1829311.5</v>
      </c>
    </row>
    <row r="5" spans="1:15">
      <c r="A5" t="s">
        <v>45</v>
      </c>
      <c r="B5" s="4">
        <v>12940</v>
      </c>
      <c r="G5" t="s">
        <v>46</v>
      </c>
      <c r="H5" s="4">
        <v>540189.5</v>
      </c>
      <c r="N5" t="s">
        <v>47</v>
      </c>
      <c r="O5" s="4">
        <v>2168181</v>
      </c>
    </row>
    <row r="6" spans="1:15">
      <c r="A6" t="s">
        <v>48</v>
      </c>
      <c r="B6" s="4">
        <v>47285</v>
      </c>
      <c r="G6" t="s">
        <v>49</v>
      </c>
      <c r="H6" s="4">
        <v>545498</v>
      </c>
      <c r="N6" t="s">
        <v>48</v>
      </c>
      <c r="O6" s="4">
        <v>7635603.5</v>
      </c>
    </row>
    <row r="7" spans="1:15">
      <c r="G7" t="s">
        <v>50</v>
      </c>
      <c r="H7" s="4">
        <v>552747</v>
      </c>
    </row>
    <row r="8" spans="1:15">
      <c r="G8" t="s">
        <v>51</v>
      </c>
      <c r="H8" s="4">
        <v>673718</v>
      </c>
    </row>
    <row r="9" spans="1:15">
      <c r="G9" t="s">
        <v>52</v>
      </c>
      <c r="H9" s="4">
        <v>584751</v>
      </c>
    </row>
    <row r="10" spans="1:15">
      <c r="A10" s="12" t="s">
        <v>53</v>
      </c>
      <c r="B10" t="s">
        <v>54</v>
      </c>
      <c r="G10" t="s">
        <v>55</v>
      </c>
      <c r="H10" s="4">
        <v>540882</v>
      </c>
    </row>
    <row r="11" spans="1:15">
      <c r="A11" t="s">
        <v>56</v>
      </c>
      <c r="B11" s="4">
        <v>754552</v>
      </c>
      <c r="G11" t="s">
        <v>57</v>
      </c>
      <c r="H11" s="4">
        <v>635150.5</v>
      </c>
    </row>
    <row r="12" spans="1:15">
      <c r="A12" t="s">
        <v>58</v>
      </c>
      <c r="B12" s="4">
        <v>734769.5</v>
      </c>
      <c r="G12" t="s">
        <v>48</v>
      </c>
      <c r="H12" s="4">
        <v>5934758</v>
      </c>
      <c r="N12" s="12" t="s">
        <v>59</v>
      </c>
      <c r="O12" t="s">
        <v>60</v>
      </c>
    </row>
    <row r="13" spans="1:15">
      <c r="A13" t="s">
        <v>61</v>
      </c>
      <c r="B13" s="4">
        <v>787684.5</v>
      </c>
      <c r="N13">
        <v>1</v>
      </c>
      <c r="O13" s="13">
        <v>1979250</v>
      </c>
    </row>
    <row r="14" spans="1:15">
      <c r="A14" t="s">
        <v>48</v>
      </c>
      <c r="B14" s="4">
        <v>2277006</v>
      </c>
      <c r="N14">
        <v>2</v>
      </c>
      <c r="O14" s="13">
        <v>1867478</v>
      </c>
    </row>
    <row r="15" spans="1:15">
      <c r="G15" s="12" t="s">
        <v>62</v>
      </c>
      <c r="H15" t="s">
        <v>33</v>
      </c>
      <c r="N15">
        <v>3</v>
      </c>
      <c r="O15" s="13">
        <v>2120706</v>
      </c>
    </row>
    <row r="16" spans="1:15">
      <c r="G16" t="s">
        <v>63</v>
      </c>
      <c r="H16" s="4">
        <v>979373</v>
      </c>
      <c r="N16">
        <v>4</v>
      </c>
      <c r="O16" s="13">
        <v>2083000</v>
      </c>
    </row>
    <row r="17" spans="1:15">
      <c r="G17" t="s">
        <v>64</v>
      </c>
      <c r="H17" s="4">
        <v>1028761.5</v>
      </c>
      <c r="N17">
        <v>5</v>
      </c>
      <c r="O17" s="13">
        <v>1983879</v>
      </c>
    </row>
    <row r="18" spans="1:15">
      <c r="A18" s="21" t="s">
        <v>65</v>
      </c>
      <c r="B18" t="s">
        <v>33</v>
      </c>
      <c r="G18" t="s">
        <v>66</v>
      </c>
      <c r="H18" s="4">
        <v>1323172</v>
      </c>
      <c r="N18" t="s">
        <v>48</v>
      </c>
      <c r="O18" s="13">
        <v>10034313</v>
      </c>
    </row>
    <row r="19" spans="1:15">
      <c r="A19" t="s">
        <v>67</v>
      </c>
      <c r="B19" s="4">
        <v>6296</v>
      </c>
      <c r="G19" t="s">
        <v>68</v>
      </c>
      <c r="H19" s="4">
        <v>1035911</v>
      </c>
    </row>
    <row r="20" spans="1:15">
      <c r="A20" t="s">
        <v>69</v>
      </c>
      <c r="B20" s="4">
        <v>15785</v>
      </c>
      <c r="G20" t="s">
        <v>70</v>
      </c>
      <c r="H20" s="4">
        <v>1127391.5</v>
      </c>
    </row>
    <row r="21" spans="1:15">
      <c r="A21" t="s">
        <v>71</v>
      </c>
      <c r="B21" s="4">
        <v>13714</v>
      </c>
      <c r="G21" t="s">
        <v>72</v>
      </c>
      <c r="H21" s="4">
        <v>1007877.5</v>
      </c>
    </row>
    <row r="22" spans="1:15">
      <c r="A22" t="s">
        <v>73</v>
      </c>
      <c r="B22" s="4">
        <v>1150</v>
      </c>
      <c r="G22" t="s">
        <v>74</v>
      </c>
      <c r="H22" s="4">
        <v>1133117</v>
      </c>
    </row>
    <row r="23" spans="1:15">
      <c r="A23" t="s">
        <v>75</v>
      </c>
      <c r="B23" s="4">
        <v>10340</v>
      </c>
      <c r="G23" t="s">
        <v>48</v>
      </c>
      <c r="H23" s="4">
        <v>7635603.5</v>
      </c>
    </row>
    <row r="24" spans="1:15">
      <c r="A24" t="s">
        <v>48</v>
      </c>
      <c r="B24" s="4">
        <v>47285</v>
      </c>
    </row>
  </sheetData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E26C-FD66-4082-85C7-C2C4CFAF59E2}">
  <dimension ref="A1:D49"/>
  <sheetViews>
    <sheetView workbookViewId="0">
      <selection activeCell="B9" sqref="B9"/>
    </sheetView>
  </sheetViews>
  <sheetFormatPr defaultRowHeight="15"/>
  <cols>
    <col min="1" max="1" width="29.7109375" customWidth="1"/>
    <col min="2" max="2" width="24.7109375" customWidth="1"/>
    <col min="4" max="4" width="13.42578125" customWidth="1"/>
  </cols>
  <sheetData>
    <row r="1" spans="1:4" ht="15.75">
      <c r="A1" s="17" t="s">
        <v>76</v>
      </c>
      <c r="B1" s="17"/>
    </row>
    <row r="3" spans="1:4">
      <c r="A3" t="s">
        <v>77</v>
      </c>
      <c r="B3" s="8">
        <f>SUM(Raw_Sales_Data!K:K)</f>
        <v>7635603.5</v>
      </c>
    </row>
    <row r="4" spans="1:4">
      <c r="A4" t="s">
        <v>27</v>
      </c>
      <c r="B4" s="8">
        <f>SUM(Raw_Sales_Data!M:M)</f>
        <v>2277006</v>
      </c>
    </row>
    <row r="5" spans="1:4">
      <c r="A5" t="s">
        <v>78</v>
      </c>
      <c r="B5" s="8">
        <f>AVERAGE(Raw_Sales_Data!K:K)</f>
        <v>7995.3963350785343</v>
      </c>
    </row>
    <row r="6" spans="1:4">
      <c r="A6" t="s">
        <v>79</v>
      </c>
      <c r="B6" s="8">
        <f>AVERAGE(Raw_Sales_Data!M:M)</f>
        <v>2384.2994764397904</v>
      </c>
    </row>
    <row r="7" spans="1:4">
      <c r="A7" t="s">
        <v>80</v>
      </c>
      <c r="B7" s="8">
        <f>MAX(Raw_Sales_Data!K:K)</f>
        <v>29850</v>
      </c>
    </row>
    <row r="8" spans="1:4">
      <c r="A8" t="s">
        <v>81</v>
      </c>
      <c r="B8" s="8">
        <f>MIN(Raw_Sales_Data!K:K)</f>
        <v>195.5</v>
      </c>
    </row>
    <row r="9" spans="1:4">
      <c r="A9" t="s">
        <v>82</v>
      </c>
      <c r="B9">
        <f>COUNT(Raw_Sales_Data!A:A)</f>
        <v>955</v>
      </c>
    </row>
    <row r="11" spans="1:4">
      <c r="A11" s="16" t="s">
        <v>83</v>
      </c>
      <c r="B11" s="16"/>
    </row>
    <row r="12" spans="1:4">
      <c r="A12" t="s">
        <v>39</v>
      </c>
      <c r="B12" s="9">
        <f>SUMIF(Raw_Sales_Data!D:D,"North",Raw_Sales_Data!K:K)</f>
        <v>1701005.5</v>
      </c>
      <c r="D12" s="4"/>
    </row>
    <row r="13" spans="1:4">
      <c r="A13" t="s">
        <v>42</v>
      </c>
      <c r="B13" s="4">
        <f>SUMIF(Raw_Sales_Data!D:D,"South",Raw_Sales_Data!K:K)</f>
        <v>2138300.5</v>
      </c>
    </row>
    <row r="14" spans="1:4">
      <c r="A14" t="s">
        <v>84</v>
      </c>
      <c r="B14" s="4">
        <f>SUMIF(Raw_Sales_Data!D:D,"East",Raw_Sales_Data!K:K)</f>
        <v>1662770.5</v>
      </c>
    </row>
    <row r="15" spans="1:4">
      <c r="A15" t="s">
        <v>45</v>
      </c>
      <c r="B15" s="9">
        <f>SUMIF(Raw_Sales_Data!D:D,"West",Raw_Sales_Data!K:K)</f>
        <v>2133527</v>
      </c>
    </row>
    <row r="17" spans="1:4">
      <c r="A17" s="16" t="s">
        <v>85</v>
      </c>
      <c r="B17" s="16"/>
    </row>
    <row r="18" spans="1:4">
      <c r="A18" t="s">
        <v>86</v>
      </c>
      <c r="B18" s="9">
        <f>SUMIF(Raw_Sales_Data!E:E,"Electronics",Raw_Sales_Data!K:K)</f>
        <v>2517789</v>
      </c>
      <c r="D18" s="13"/>
    </row>
    <row r="19" spans="1:4">
      <c r="A19" t="s">
        <v>87</v>
      </c>
      <c r="B19" s="4">
        <f>SUMIF(Raw_Sales_Data!E:E,"Furniture",Raw_Sales_Data!K:K)</f>
        <v>2447919.5</v>
      </c>
    </row>
    <row r="20" spans="1:4">
      <c r="A20" t="s">
        <v>61</v>
      </c>
      <c r="B20" s="4">
        <f>SUMIF(Raw_Sales_Data!E:E,"Office",Raw_Sales_Data!K:K)</f>
        <v>2669895</v>
      </c>
    </row>
    <row r="22" spans="1:4">
      <c r="A22" s="16" t="s">
        <v>88</v>
      </c>
      <c r="B22" s="16"/>
    </row>
    <row r="23" spans="1:4">
      <c r="A23" t="s">
        <v>39</v>
      </c>
      <c r="B23">
        <f>COUNTIF(Raw_Sales_Data!D:D,"North")</f>
        <v>224</v>
      </c>
    </row>
    <row r="24" spans="1:4">
      <c r="A24" t="s">
        <v>42</v>
      </c>
      <c r="B24" s="5">
        <f>COUNTIF(Raw_Sales_Data!D:D,"South")</f>
        <v>241</v>
      </c>
    </row>
    <row r="25" spans="1:4">
      <c r="A25" t="s">
        <v>84</v>
      </c>
      <c r="B25">
        <f>COUNTIF(Raw_Sales_Data!D:D,"East")</f>
        <v>220</v>
      </c>
    </row>
    <row r="26" spans="1:4">
      <c r="A26" t="s">
        <v>45</v>
      </c>
      <c r="B26">
        <f>COUNTIF(Raw_Sales_Data!D:D,"West")</f>
        <v>270</v>
      </c>
    </row>
    <row r="28" spans="1:4">
      <c r="A28" s="18" t="s">
        <v>89</v>
      </c>
      <c r="B28" s="18"/>
    </row>
    <row r="29" spans="1:4">
      <c r="A29" t="s">
        <v>39</v>
      </c>
      <c r="B29" s="4">
        <f>AVERAGEIF(Raw_Sales_Data!D:D,"North",Raw_Sales_Data!K:K)</f>
        <v>7593.7745535714284</v>
      </c>
      <c r="D29" s="4"/>
    </row>
    <row r="30" spans="1:4">
      <c r="A30" t="s">
        <v>42</v>
      </c>
      <c r="B30" s="4">
        <f>AVERAGEIF(Raw_Sales_Data!D:D,"South",Raw_Sales_Data!K:K)</f>
        <v>8872.616182572614</v>
      </c>
    </row>
    <row r="31" spans="1:4">
      <c r="A31" t="s">
        <v>84</v>
      </c>
      <c r="B31" s="4">
        <f>AVERAGEIF(Raw_Sales_Data!D:D,"East",Raw_Sales_Data!K:K)</f>
        <v>7558.0477272727276</v>
      </c>
    </row>
    <row r="32" spans="1:4">
      <c r="A32" t="s">
        <v>45</v>
      </c>
      <c r="B32" s="4">
        <f>AVERAGEIF(Raw_Sales_Data!D:D,"West",Raw_Sales_Data!K:K)</f>
        <v>7901.9518518518516</v>
      </c>
    </row>
    <row r="35" spans="1:2">
      <c r="A35" s="10" t="s">
        <v>90</v>
      </c>
      <c r="B35" s="5">
        <f>COUNTIFS(Raw_Sales_Data!D:D,"North",Raw_Sales_Data!E:E,"Electronics")</f>
        <v>65</v>
      </c>
    </row>
    <row r="36" spans="1:2">
      <c r="A36" t="s">
        <v>91</v>
      </c>
      <c r="B36" s="5">
        <f>COUNTIFS(Raw_Sales_Data!D:D,"North",Raw_Sales_Data!E:E,"Furniture")</f>
        <v>81</v>
      </c>
    </row>
    <row r="37" spans="1:2">
      <c r="A37" s="5" t="s">
        <v>92</v>
      </c>
      <c r="B37">
        <f>COUNTIFS(Raw_Sales_Data!D:D,"North",Raw_Sales_Data!E:E,"Office")</f>
        <v>78</v>
      </c>
    </row>
    <row r="38" spans="1:2">
      <c r="A38" s="5"/>
    </row>
    <row r="39" spans="1:2">
      <c r="A39" s="11" t="s">
        <v>93</v>
      </c>
      <c r="B39">
        <f>COUNTIFS(Raw_Sales_Data!D:D,"South",Raw_Sales_Data!E:E,"Electronics")</f>
        <v>76</v>
      </c>
    </row>
    <row r="40" spans="1:2">
      <c r="A40" t="s">
        <v>94</v>
      </c>
      <c r="B40">
        <f>COUNTIFS(Raw_Sales_Data!D:D,"South",Raw_Sales_Data!E:E,"Furniture")</f>
        <v>75</v>
      </c>
    </row>
    <row r="41" spans="1:2">
      <c r="A41" t="s">
        <v>95</v>
      </c>
      <c r="B41">
        <f>COUNTIFS(Raw_Sales_Data!D:D,"South",Raw_Sales_Data!E:E,"Office")</f>
        <v>90</v>
      </c>
    </row>
    <row r="43" spans="1:2">
      <c r="A43" t="s">
        <v>96</v>
      </c>
      <c r="B43" s="5">
        <f>COUNTIFS(Raw_Sales_Data!D:D,"East",Raw_Sales_Data!E:E,"Electronics")</f>
        <v>77</v>
      </c>
    </row>
    <row r="44" spans="1:2">
      <c r="A44" t="s">
        <v>97</v>
      </c>
      <c r="B44">
        <f>COUNTIFS(Raw_Sales_Data!D:D,"East",Raw_Sales_Data!E:E,"Furniture")</f>
        <v>73</v>
      </c>
    </row>
    <row r="45" spans="1:2">
      <c r="A45" t="s">
        <v>98</v>
      </c>
      <c r="B45">
        <f>COUNTIFS(Raw_Sales_Data!D:D,"East",Raw_Sales_Data!E:E,"Office")</f>
        <v>70</v>
      </c>
    </row>
    <row r="47" spans="1:2">
      <c r="A47" t="s">
        <v>99</v>
      </c>
      <c r="B47">
        <f>COUNTIFS(Raw_Sales_Data!D:D,"West",Raw_Sales_Data!E:E,"Electronics")</f>
        <v>91</v>
      </c>
    </row>
    <row r="48" spans="1:2">
      <c r="A48" t="s">
        <v>100</v>
      </c>
      <c r="B48">
        <f>COUNTIFS(Raw_Sales_Data!D:D,"West",Raw_Sales_Data!E:E,"Furniture")</f>
        <v>71</v>
      </c>
    </row>
    <row r="49" spans="1:2">
      <c r="A49" t="s">
        <v>101</v>
      </c>
      <c r="B49">
        <f>COUNTIFS(Raw_Sales_Data!D:D,"West",Raw_Sales_Data!E:E,"Office")</f>
        <v>108</v>
      </c>
    </row>
  </sheetData>
  <mergeCells count="5">
    <mergeCell ref="A11:B11"/>
    <mergeCell ref="A1:B1"/>
    <mergeCell ref="A17:B17"/>
    <mergeCell ref="A22:B22"/>
    <mergeCell ref="A28:B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60"/>
  <sheetViews>
    <sheetView workbookViewId="0">
      <selection activeCell="S6" sqref="S6"/>
    </sheetView>
  </sheetViews>
  <sheetFormatPr defaultRowHeight="15"/>
  <cols>
    <col min="1" max="1" width="11.28515625" bestFit="1" customWidth="1"/>
    <col min="2" max="2" width="13.5703125" style="7" bestFit="1" customWidth="1"/>
    <col min="3" max="3" width="18.140625" style="1" bestFit="1" customWidth="1"/>
    <col min="4" max="4" width="9.28515625" style="1" bestFit="1" customWidth="1"/>
    <col min="5" max="5" width="11.140625" style="1" bestFit="1" customWidth="1"/>
    <col min="6" max="6" width="11.28515625" style="1" bestFit="1" customWidth="1"/>
    <col min="7" max="7" width="13.85546875" style="1" bestFit="1" customWidth="1"/>
    <col min="8" max="8" width="11" style="1" bestFit="1" customWidth="1"/>
    <col min="9" max="9" width="12.42578125" style="2" bestFit="1" customWidth="1"/>
    <col min="10" max="10" width="13.5703125" style="3" bestFit="1" customWidth="1"/>
    <col min="11" max="11" width="12.140625" style="2" customWidth="1"/>
    <col min="12" max="12" width="11.85546875" style="2" customWidth="1"/>
    <col min="13" max="13" width="12.5703125" style="2" customWidth="1"/>
    <col min="14" max="14" width="19.28515625" style="1" bestFit="1" customWidth="1"/>
    <col min="15" max="15" width="18.5703125" bestFit="1" customWidth="1"/>
    <col min="17" max="17" width="22.42578125" customWidth="1"/>
    <col min="18" max="18" width="14.7109375" customWidth="1"/>
    <col min="21" max="21" width="14" bestFit="1" customWidth="1"/>
    <col min="22" max="22" width="12.140625" customWidth="1"/>
  </cols>
  <sheetData>
    <row r="1" spans="1:23">
      <c r="A1" t="s">
        <v>102</v>
      </c>
      <c r="B1" s="7" t="s">
        <v>65</v>
      </c>
      <c r="C1" s="14" t="s">
        <v>103</v>
      </c>
      <c r="D1" s="14" t="s">
        <v>32</v>
      </c>
      <c r="E1" s="14" t="s">
        <v>53</v>
      </c>
      <c r="F1" s="14" t="s">
        <v>34</v>
      </c>
      <c r="G1" s="14" t="s">
        <v>62</v>
      </c>
      <c r="H1" s="14" t="s">
        <v>104</v>
      </c>
      <c r="I1" s="2" t="s">
        <v>105</v>
      </c>
      <c r="J1" s="3" t="s">
        <v>106</v>
      </c>
      <c r="K1" s="2" t="s">
        <v>107</v>
      </c>
      <c r="L1" s="2" t="s">
        <v>108</v>
      </c>
      <c r="M1" s="2" t="s">
        <v>109</v>
      </c>
      <c r="N1" s="14" t="s">
        <v>35</v>
      </c>
      <c r="O1" t="s">
        <v>59</v>
      </c>
      <c r="Q1" t="s">
        <v>110</v>
      </c>
      <c r="R1" s="4">
        <f>SUM(M:M)</f>
        <v>2277006</v>
      </c>
      <c r="V1" s="2"/>
      <c r="W1" s="14"/>
    </row>
    <row r="2" spans="1:23">
      <c r="A2">
        <v>10002</v>
      </c>
      <c r="B2" s="7">
        <v>45658</v>
      </c>
      <c r="C2" s="14" t="s">
        <v>111</v>
      </c>
      <c r="D2" s="14" t="s">
        <v>42</v>
      </c>
      <c r="E2" s="14" t="s">
        <v>61</v>
      </c>
      <c r="F2" s="14" t="s">
        <v>52</v>
      </c>
      <c r="G2" s="14" t="s">
        <v>68</v>
      </c>
      <c r="H2" s="14">
        <v>14</v>
      </c>
      <c r="I2" s="2">
        <v>1770</v>
      </c>
      <c r="J2" s="3">
        <v>0</v>
      </c>
      <c r="K2" s="2">
        <v>24780</v>
      </c>
      <c r="L2" s="2">
        <v>14620</v>
      </c>
      <c r="M2" s="2">
        <v>10160</v>
      </c>
      <c r="N2" s="14" t="s">
        <v>41</v>
      </c>
      <c r="O2" s="14">
        <v>1</v>
      </c>
      <c r="Q2" t="s">
        <v>112</v>
      </c>
      <c r="R2" s="4">
        <f>SUM(K:K)</f>
        <v>7635603.5</v>
      </c>
      <c r="V2" s="2"/>
    </row>
    <row r="3" spans="1:23">
      <c r="A3">
        <v>10003</v>
      </c>
      <c r="B3" s="7" t="s">
        <v>113</v>
      </c>
      <c r="C3" s="14" t="s">
        <v>111</v>
      </c>
      <c r="D3" s="14" t="s">
        <v>39</v>
      </c>
      <c r="E3" s="14" t="s">
        <v>61</v>
      </c>
      <c r="F3" s="14" t="s">
        <v>51</v>
      </c>
      <c r="G3" s="14" t="s">
        <v>68</v>
      </c>
      <c r="H3" s="14">
        <v>4</v>
      </c>
      <c r="I3" s="2">
        <v>1560</v>
      </c>
      <c r="J3" s="3">
        <v>10</v>
      </c>
      <c r="K3" s="2">
        <v>5616</v>
      </c>
      <c r="L3" s="2">
        <v>3088</v>
      </c>
      <c r="M3" s="2">
        <v>2528</v>
      </c>
      <c r="N3" s="14" t="s">
        <v>38</v>
      </c>
      <c r="O3" s="14">
        <v>1</v>
      </c>
      <c r="Q3" s="5" t="s">
        <v>114</v>
      </c>
      <c r="R3" s="4">
        <f>AVERAGE(K:K)</f>
        <v>7995.3963350785343</v>
      </c>
      <c r="V3" s="2"/>
    </row>
    <row r="4" spans="1:23">
      <c r="A4">
        <v>10004</v>
      </c>
      <c r="B4" s="7" t="s">
        <v>115</v>
      </c>
      <c r="C4" s="14" t="s">
        <v>116</v>
      </c>
      <c r="D4" s="14" t="s">
        <v>36</v>
      </c>
      <c r="E4" s="14" t="s">
        <v>61</v>
      </c>
      <c r="F4" s="14" t="s">
        <v>117</v>
      </c>
      <c r="G4" s="14" t="s">
        <v>66</v>
      </c>
      <c r="H4" s="14">
        <v>1</v>
      </c>
      <c r="I4" s="2">
        <v>760</v>
      </c>
      <c r="J4" s="3">
        <v>15</v>
      </c>
      <c r="K4" s="2">
        <v>646</v>
      </c>
      <c r="L4" s="2">
        <v>400</v>
      </c>
      <c r="M4" s="2">
        <v>246</v>
      </c>
      <c r="N4" s="14" t="s">
        <v>38</v>
      </c>
      <c r="O4" s="14">
        <v>4</v>
      </c>
      <c r="Q4" t="s">
        <v>118</v>
      </c>
      <c r="R4" s="4">
        <f>AVERAGE(M:M)</f>
        <v>2384.2994764397904</v>
      </c>
      <c r="V4" s="2"/>
    </row>
    <row r="5" spans="1:23">
      <c r="A5">
        <v>10005</v>
      </c>
      <c r="B5" s="7" t="s">
        <v>119</v>
      </c>
      <c r="C5" s="14" t="s">
        <v>120</v>
      </c>
      <c r="D5" s="14" t="s">
        <v>39</v>
      </c>
      <c r="E5" s="14" t="s">
        <v>58</v>
      </c>
      <c r="F5" s="14" t="s">
        <v>37</v>
      </c>
      <c r="G5" s="14" t="s">
        <v>63</v>
      </c>
      <c r="H5" s="14">
        <v>7</v>
      </c>
      <c r="I5" s="2">
        <v>580</v>
      </c>
      <c r="J5" s="3">
        <v>0</v>
      </c>
      <c r="K5" s="2">
        <v>4060</v>
      </c>
      <c r="L5" s="2">
        <v>3329</v>
      </c>
      <c r="M5" s="2">
        <v>731</v>
      </c>
      <c r="N5" s="14" t="s">
        <v>44</v>
      </c>
      <c r="O5" s="14">
        <v>1</v>
      </c>
      <c r="Q5" t="s">
        <v>121</v>
      </c>
      <c r="R5" s="4">
        <f>MAX(K:K)</f>
        <v>29850</v>
      </c>
      <c r="V5" s="2"/>
    </row>
    <row r="6" spans="1:23">
      <c r="A6">
        <v>10006</v>
      </c>
      <c r="B6" s="7" t="s">
        <v>122</v>
      </c>
      <c r="C6" s="14" t="s">
        <v>120</v>
      </c>
      <c r="D6" s="14" t="s">
        <v>42</v>
      </c>
      <c r="E6" s="14" t="s">
        <v>58</v>
      </c>
      <c r="F6" s="14" t="s">
        <v>40</v>
      </c>
      <c r="G6" s="14" t="s">
        <v>66</v>
      </c>
      <c r="H6" s="14">
        <v>2</v>
      </c>
      <c r="I6" s="2">
        <v>1240</v>
      </c>
      <c r="J6" s="3">
        <v>5</v>
      </c>
      <c r="K6" s="2">
        <v>2356</v>
      </c>
      <c r="L6" s="2">
        <v>1908</v>
      </c>
      <c r="M6" s="2">
        <v>448</v>
      </c>
      <c r="N6" s="14" t="s">
        <v>44</v>
      </c>
      <c r="O6" s="14">
        <v>2</v>
      </c>
      <c r="Q6" t="s">
        <v>123</v>
      </c>
      <c r="R6" s="4">
        <f>MIN(K:K)</f>
        <v>195.5</v>
      </c>
      <c r="V6" s="2"/>
    </row>
    <row r="7" spans="1:23">
      <c r="A7">
        <v>10008</v>
      </c>
      <c r="B7" s="7" t="s">
        <v>124</v>
      </c>
      <c r="C7" s="14" t="s">
        <v>125</v>
      </c>
      <c r="D7" s="14" t="s">
        <v>45</v>
      </c>
      <c r="E7" s="14" t="s">
        <v>56</v>
      </c>
      <c r="F7" s="14" t="s">
        <v>50</v>
      </c>
      <c r="G7" s="14" t="s">
        <v>64</v>
      </c>
      <c r="H7" s="14">
        <v>13</v>
      </c>
      <c r="I7" s="2">
        <v>910</v>
      </c>
      <c r="J7" s="3">
        <v>20</v>
      </c>
      <c r="K7" s="2">
        <v>9464</v>
      </c>
      <c r="L7" s="2">
        <v>6814</v>
      </c>
      <c r="M7" s="2">
        <v>2650</v>
      </c>
      <c r="N7" s="14" t="s">
        <v>41</v>
      </c>
      <c r="O7" s="14">
        <v>5</v>
      </c>
      <c r="Q7" t="s">
        <v>31</v>
      </c>
      <c r="R7">
        <f>COUNT(A:A)</f>
        <v>955</v>
      </c>
      <c r="V7" s="2"/>
    </row>
    <row r="8" spans="1:23">
      <c r="A8">
        <v>10009</v>
      </c>
      <c r="B8" s="7" t="s">
        <v>126</v>
      </c>
      <c r="C8" s="14" t="s">
        <v>111</v>
      </c>
      <c r="D8" s="14" t="s">
        <v>42</v>
      </c>
      <c r="E8" s="14" t="s">
        <v>61</v>
      </c>
      <c r="F8" s="14" t="s">
        <v>51</v>
      </c>
      <c r="G8" s="14" t="s">
        <v>68</v>
      </c>
      <c r="H8" s="14">
        <v>1</v>
      </c>
      <c r="I8" s="2">
        <v>300</v>
      </c>
      <c r="J8" s="3">
        <v>0</v>
      </c>
      <c r="K8" s="2">
        <v>300</v>
      </c>
      <c r="L8" s="2">
        <v>231</v>
      </c>
      <c r="M8" s="2">
        <v>69</v>
      </c>
      <c r="N8" s="14" t="s">
        <v>41</v>
      </c>
      <c r="O8" s="14">
        <v>4</v>
      </c>
      <c r="V8" s="2"/>
    </row>
    <row r="9" spans="1:23">
      <c r="A9">
        <v>10010</v>
      </c>
      <c r="B9" s="7" t="s">
        <v>127</v>
      </c>
      <c r="C9" s="14" t="s">
        <v>128</v>
      </c>
      <c r="D9" s="14" t="s">
        <v>42</v>
      </c>
      <c r="E9" s="14" t="s">
        <v>61</v>
      </c>
      <c r="F9" s="14" t="s">
        <v>51</v>
      </c>
      <c r="G9" s="14" t="s">
        <v>64</v>
      </c>
      <c r="H9" s="14">
        <v>7</v>
      </c>
      <c r="I9" s="2">
        <v>1850</v>
      </c>
      <c r="J9" s="3">
        <v>20</v>
      </c>
      <c r="K9" s="2">
        <v>10360</v>
      </c>
      <c r="L9" s="2">
        <v>6630</v>
      </c>
      <c r="M9" s="2">
        <v>3730</v>
      </c>
      <c r="N9" s="14" t="s">
        <v>38</v>
      </c>
      <c r="O9" s="14">
        <v>4</v>
      </c>
      <c r="R9" s="6"/>
      <c r="V9" s="2"/>
    </row>
    <row r="10" spans="1:23">
      <c r="A10">
        <v>10011</v>
      </c>
      <c r="B10" s="7" t="s">
        <v>129</v>
      </c>
      <c r="C10" s="14" t="s">
        <v>130</v>
      </c>
      <c r="D10" s="14" t="s">
        <v>45</v>
      </c>
      <c r="E10" s="14" t="s">
        <v>56</v>
      </c>
      <c r="F10" s="14" t="s">
        <v>131</v>
      </c>
      <c r="G10" s="14" t="s">
        <v>72</v>
      </c>
      <c r="H10" s="14">
        <v>4</v>
      </c>
      <c r="I10" s="2">
        <v>1280</v>
      </c>
      <c r="J10" s="3">
        <v>15</v>
      </c>
      <c r="K10" s="2">
        <v>4352</v>
      </c>
      <c r="L10" s="2">
        <v>3655</v>
      </c>
      <c r="M10" s="2">
        <v>697</v>
      </c>
      <c r="N10" s="14" t="s">
        <v>47</v>
      </c>
      <c r="O10" s="14">
        <v>5</v>
      </c>
      <c r="Q10" s="5"/>
      <c r="V10" s="2"/>
    </row>
    <row r="11" spans="1:23">
      <c r="A11">
        <v>10012</v>
      </c>
      <c r="B11" s="7" t="s">
        <v>132</v>
      </c>
      <c r="C11" s="14" t="s">
        <v>130</v>
      </c>
      <c r="D11" s="14" t="s">
        <v>36</v>
      </c>
      <c r="E11" s="14" t="s">
        <v>56</v>
      </c>
      <c r="F11" s="14" t="s">
        <v>49</v>
      </c>
      <c r="G11" s="14" t="s">
        <v>74</v>
      </c>
      <c r="H11" s="14">
        <v>8</v>
      </c>
      <c r="I11" s="2">
        <v>1800</v>
      </c>
      <c r="J11" s="3">
        <v>15</v>
      </c>
      <c r="K11" s="2">
        <v>12240</v>
      </c>
      <c r="L11" s="2">
        <v>9669</v>
      </c>
      <c r="M11" s="2">
        <v>2571</v>
      </c>
      <c r="N11" s="14" t="s">
        <v>47</v>
      </c>
      <c r="O11" s="14">
        <v>1</v>
      </c>
      <c r="V11" s="2"/>
    </row>
    <row r="12" spans="1:23">
      <c r="A12">
        <v>10013</v>
      </c>
      <c r="B12" s="7" t="s">
        <v>133</v>
      </c>
      <c r="C12" s="14" t="s">
        <v>111</v>
      </c>
      <c r="D12" s="14" t="s">
        <v>36</v>
      </c>
      <c r="E12" s="14" t="s">
        <v>61</v>
      </c>
      <c r="F12" s="14" t="s">
        <v>117</v>
      </c>
      <c r="G12" s="14" t="s">
        <v>70</v>
      </c>
      <c r="H12" s="14">
        <v>11</v>
      </c>
      <c r="I12" s="2">
        <v>1300</v>
      </c>
      <c r="J12" s="3">
        <v>0</v>
      </c>
      <c r="K12" s="2">
        <v>14300</v>
      </c>
      <c r="L12" s="2">
        <v>9009</v>
      </c>
      <c r="M12" s="2">
        <v>5291</v>
      </c>
      <c r="N12" s="14" t="s">
        <v>47</v>
      </c>
      <c r="O12" s="14">
        <v>5</v>
      </c>
      <c r="V12" s="2"/>
    </row>
    <row r="13" spans="1:23">
      <c r="A13">
        <v>10014</v>
      </c>
      <c r="B13" s="7" t="s">
        <v>134</v>
      </c>
      <c r="C13" s="14" t="s">
        <v>135</v>
      </c>
      <c r="D13" s="14" t="s">
        <v>42</v>
      </c>
      <c r="E13" s="14" t="s">
        <v>61</v>
      </c>
      <c r="F13" s="14" t="s">
        <v>46</v>
      </c>
      <c r="G13" s="14" t="s">
        <v>74</v>
      </c>
      <c r="H13" s="14">
        <v>15</v>
      </c>
      <c r="I13" s="2">
        <v>1790</v>
      </c>
      <c r="J13" s="3">
        <v>0</v>
      </c>
      <c r="K13" s="2">
        <v>26850</v>
      </c>
      <c r="L13" s="2">
        <v>19869</v>
      </c>
      <c r="M13" s="2">
        <v>6981</v>
      </c>
      <c r="N13" s="14" t="s">
        <v>47</v>
      </c>
      <c r="O13" s="14">
        <v>1</v>
      </c>
      <c r="V13" s="2"/>
    </row>
    <row r="14" spans="1:23">
      <c r="A14">
        <v>10015</v>
      </c>
      <c r="B14" s="7" t="s">
        <v>136</v>
      </c>
      <c r="C14" s="14" t="s">
        <v>137</v>
      </c>
      <c r="D14" s="14" t="s">
        <v>45</v>
      </c>
      <c r="E14" s="14" t="s">
        <v>58</v>
      </c>
      <c r="F14" s="14" t="s">
        <v>37</v>
      </c>
      <c r="G14" s="14" t="s">
        <v>70</v>
      </c>
      <c r="H14" s="14">
        <v>8</v>
      </c>
      <c r="I14" s="2">
        <v>650</v>
      </c>
      <c r="J14" s="3">
        <v>10</v>
      </c>
      <c r="K14" s="2">
        <v>4680</v>
      </c>
      <c r="L14" s="2">
        <v>3837</v>
      </c>
      <c r="M14" s="2">
        <v>843</v>
      </c>
      <c r="N14" s="14" t="s">
        <v>41</v>
      </c>
      <c r="O14" s="14">
        <v>2</v>
      </c>
      <c r="V14" s="2"/>
    </row>
    <row r="15" spans="1:23">
      <c r="A15">
        <v>10017</v>
      </c>
      <c r="B15" s="7" t="s">
        <v>138</v>
      </c>
      <c r="C15" s="14" t="s">
        <v>135</v>
      </c>
      <c r="D15" s="14" t="s">
        <v>45</v>
      </c>
      <c r="E15" s="14" t="s">
        <v>58</v>
      </c>
      <c r="F15" s="14" t="s">
        <v>37</v>
      </c>
      <c r="G15" s="14" t="s">
        <v>68</v>
      </c>
      <c r="H15" s="14">
        <v>11</v>
      </c>
      <c r="I15" s="2">
        <v>1900</v>
      </c>
      <c r="J15" s="3">
        <v>15</v>
      </c>
      <c r="K15" s="2">
        <v>17765</v>
      </c>
      <c r="L15" s="2">
        <v>11014</v>
      </c>
      <c r="M15" s="2">
        <v>6751</v>
      </c>
      <c r="N15" s="14" t="s">
        <v>38</v>
      </c>
      <c r="O15" s="14">
        <v>5</v>
      </c>
      <c r="V15" s="2"/>
    </row>
    <row r="16" spans="1:23">
      <c r="A16">
        <v>10018</v>
      </c>
      <c r="B16" s="7" t="s">
        <v>139</v>
      </c>
      <c r="C16" s="14" t="s">
        <v>130</v>
      </c>
      <c r="D16" s="14" t="s">
        <v>39</v>
      </c>
      <c r="E16" s="14" t="s">
        <v>61</v>
      </c>
      <c r="F16" s="14" t="s">
        <v>51</v>
      </c>
      <c r="G16" s="14" t="s">
        <v>66</v>
      </c>
      <c r="H16" s="14">
        <v>14</v>
      </c>
      <c r="I16" s="2">
        <v>1900</v>
      </c>
      <c r="J16" s="3">
        <v>10</v>
      </c>
      <c r="K16" s="2">
        <v>23940</v>
      </c>
      <c r="L16" s="2">
        <v>17236</v>
      </c>
      <c r="M16" s="2">
        <v>6704</v>
      </c>
      <c r="N16" s="14" t="s">
        <v>38</v>
      </c>
      <c r="O16" s="14">
        <v>4</v>
      </c>
      <c r="V16" s="2"/>
    </row>
    <row r="17" spans="1:22">
      <c r="A17">
        <v>10019</v>
      </c>
      <c r="B17" s="7" t="s">
        <v>140</v>
      </c>
      <c r="C17" s="14" t="s">
        <v>141</v>
      </c>
      <c r="D17" s="14" t="s">
        <v>45</v>
      </c>
      <c r="E17" s="14" t="s">
        <v>56</v>
      </c>
      <c r="F17" s="14" t="s">
        <v>57</v>
      </c>
      <c r="G17" s="14" t="s">
        <v>68</v>
      </c>
      <c r="H17" s="14">
        <v>13</v>
      </c>
      <c r="I17" s="2">
        <v>1560</v>
      </c>
      <c r="J17" s="3">
        <v>0</v>
      </c>
      <c r="K17" s="2">
        <v>20280</v>
      </c>
      <c r="L17" s="2">
        <v>17238</v>
      </c>
      <c r="M17" s="2">
        <v>3042</v>
      </c>
      <c r="N17" s="14" t="s">
        <v>38</v>
      </c>
      <c r="O17" s="14">
        <v>2</v>
      </c>
      <c r="V17" s="2"/>
    </row>
    <row r="18" spans="1:22">
      <c r="A18">
        <v>10020</v>
      </c>
      <c r="B18" s="7" t="s">
        <v>142</v>
      </c>
      <c r="C18" s="14" t="s">
        <v>111</v>
      </c>
      <c r="D18" s="14" t="s">
        <v>42</v>
      </c>
      <c r="E18" s="14" t="s">
        <v>61</v>
      </c>
      <c r="F18" s="14" t="s">
        <v>143</v>
      </c>
      <c r="G18" s="14" t="s">
        <v>74</v>
      </c>
      <c r="H18" s="14">
        <v>14</v>
      </c>
      <c r="I18" s="2">
        <v>340</v>
      </c>
      <c r="J18" s="3">
        <v>10</v>
      </c>
      <c r="K18" s="2">
        <v>4284</v>
      </c>
      <c r="L18" s="2">
        <v>2613</v>
      </c>
      <c r="M18" s="2">
        <v>1671</v>
      </c>
      <c r="N18" s="14" t="s">
        <v>47</v>
      </c>
      <c r="O18" s="14">
        <v>1</v>
      </c>
      <c r="V18" s="2"/>
    </row>
    <row r="19" spans="1:22">
      <c r="A19">
        <v>10021</v>
      </c>
      <c r="B19" s="7" t="s">
        <v>144</v>
      </c>
      <c r="C19" s="14" t="s">
        <v>125</v>
      </c>
      <c r="D19" s="14" t="s">
        <v>45</v>
      </c>
      <c r="E19" s="14" t="s">
        <v>56</v>
      </c>
      <c r="F19" s="14" t="s">
        <v>50</v>
      </c>
      <c r="G19" s="14" t="s">
        <v>70</v>
      </c>
      <c r="H19" s="14">
        <v>10</v>
      </c>
      <c r="I19" s="2">
        <v>990</v>
      </c>
      <c r="J19" s="3">
        <v>5</v>
      </c>
      <c r="K19" s="2">
        <v>9405</v>
      </c>
      <c r="L19" s="2">
        <v>7524</v>
      </c>
      <c r="M19" s="2">
        <v>1881</v>
      </c>
      <c r="N19" s="14" t="s">
        <v>41</v>
      </c>
      <c r="O19" s="14">
        <v>3</v>
      </c>
      <c r="V19" s="2"/>
    </row>
    <row r="20" spans="1:22">
      <c r="A20">
        <v>10022</v>
      </c>
      <c r="B20" s="7" t="s">
        <v>145</v>
      </c>
      <c r="C20" s="14" t="s">
        <v>111</v>
      </c>
      <c r="D20" s="14" t="s">
        <v>39</v>
      </c>
      <c r="E20" s="14" t="s">
        <v>58</v>
      </c>
      <c r="F20" s="14" t="s">
        <v>55</v>
      </c>
      <c r="G20" s="14" t="s">
        <v>66</v>
      </c>
      <c r="H20" s="14">
        <v>13</v>
      </c>
      <c r="I20" s="2">
        <v>910</v>
      </c>
      <c r="J20" s="3">
        <v>5</v>
      </c>
      <c r="K20" s="2">
        <v>11238.5</v>
      </c>
      <c r="L20" s="2">
        <v>8091</v>
      </c>
      <c r="M20" s="2">
        <v>3147.5</v>
      </c>
      <c r="N20" s="14" t="s">
        <v>44</v>
      </c>
      <c r="O20" s="14">
        <v>3</v>
      </c>
      <c r="V20" s="2"/>
    </row>
    <row r="21" spans="1:22">
      <c r="A21">
        <v>10023</v>
      </c>
      <c r="B21" s="7" t="s">
        <v>146</v>
      </c>
      <c r="C21" s="14" t="s">
        <v>147</v>
      </c>
      <c r="D21" s="14" t="s">
        <v>36</v>
      </c>
      <c r="E21" s="14" t="s">
        <v>56</v>
      </c>
      <c r="F21" s="14" t="s">
        <v>49</v>
      </c>
      <c r="G21" s="14" t="s">
        <v>74</v>
      </c>
      <c r="H21" s="14">
        <v>13</v>
      </c>
      <c r="I21" s="2">
        <v>960</v>
      </c>
      <c r="J21" s="3">
        <v>0</v>
      </c>
      <c r="K21" s="2">
        <v>12480</v>
      </c>
      <c r="L21" s="2">
        <v>9484</v>
      </c>
      <c r="M21" s="2">
        <v>2996</v>
      </c>
      <c r="N21" s="14" t="s">
        <v>47</v>
      </c>
      <c r="O21" s="14">
        <v>5</v>
      </c>
      <c r="V21" s="2"/>
    </row>
    <row r="22" spans="1:22">
      <c r="A22">
        <v>10024</v>
      </c>
      <c r="B22" s="7" t="s">
        <v>148</v>
      </c>
      <c r="C22" s="14" t="s">
        <v>130</v>
      </c>
      <c r="D22" s="14" t="s">
        <v>36</v>
      </c>
      <c r="E22" s="14" t="s">
        <v>58</v>
      </c>
      <c r="F22" s="14" t="s">
        <v>55</v>
      </c>
      <c r="G22" s="14" t="s">
        <v>63</v>
      </c>
      <c r="H22" s="14">
        <v>3</v>
      </c>
      <c r="I22" s="2">
        <v>690</v>
      </c>
      <c r="J22" s="3">
        <v>10</v>
      </c>
      <c r="K22" s="2">
        <v>1863</v>
      </c>
      <c r="L22" s="2">
        <v>1583</v>
      </c>
      <c r="M22" s="2">
        <v>280</v>
      </c>
      <c r="N22" s="14" t="s">
        <v>41</v>
      </c>
      <c r="O22" s="14">
        <v>3</v>
      </c>
      <c r="V22" s="2"/>
    </row>
    <row r="23" spans="1:22">
      <c r="A23">
        <v>10025</v>
      </c>
      <c r="B23" s="7" t="s">
        <v>149</v>
      </c>
      <c r="C23" s="14" t="s">
        <v>116</v>
      </c>
      <c r="D23" s="14" t="s">
        <v>42</v>
      </c>
      <c r="E23" s="14" t="s">
        <v>56</v>
      </c>
      <c r="F23" s="14" t="s">
        <v>150</v>
      </c>
      <c r="G23" s="14" t="s">
        <v>66</v>
      </c>
      <c r="H23" s="14">
        <v>3</v>
      </c>
      <c r="I23" s="2">
        <v>1720</v>
      </c>
      <c r="J23" s="3">
        <v>20</v>
      </c>
      <c r="K23" s="2">
        <v>4128</v>
      </c>
      <c r="L23" s="2">
        <v>2765</v>
      </c>
      <c r="M23" s="2">
        <v>1363</v>
      </c>
      <c r="N23" s="14" t="s">
        <v>44</v>
      </c>
      <c r="O23" s="14">
        <v>3</v>
      </c>
      <c r="V23" s="2"/>
    </row>
    <row r="24" spans="1:22">
      <c r="A24">
        <v>10026</v>
      </c>
      <c r="B24" s="7" t="s">
        <v>151</v>
      </c>
      <c r="C24" s="14" t="s">
        <v>135</v>
      </c>
      <c r="D24" s="14" t="s">
        <v>36</v>
      </c>
      <c r="E24" s="14" t="s">
        <v>58</v>
      </c>
      <c r="F24" s="14" t="s">
        <v>37</v>
      </c>
      <c r="G24" s="14" t="s">
        <v>64</v>
      </c>
      <c r="H24" s="14">
        <v>11</v>
      </c>
      <c r="I24" s="2">
        <v>740</v>
      </c>
      <c r="J24" s="3">
        <v>15</v>
      </c>
      <c r="K24" s="2">
        <v>6919</v>
      </c>
      <c r="L24" s="2">
        <v>5811</v>
      </c>
      <c r="M24" s="2">
        <v>1108</v>
      </c>
      <c r="N24" s="14" t="s">
        <v>38</v>
      </c>
      <c r="O24" s="14">
        <v>1</v>
      </c>
      <c r="V24" s="2"/>
    </row>
    <row r="25" spans="1:22">
      <c r="A25">
        <v>10027</v>
      </c>
      <c r="B25" s="7" t="s">
        <v>152</v>
      </c>
      <c r="C25" s="14" t="s">
        <v>130</v>
      </c>
      <c r="D25" s="14" t="s">
        <v>45</v>
      </c>
      <c r="E25" s="14" t="s">
        <v>61</v>
      </c>
      <c r="F25" s="14" t="s">
        <v>51</v>
      </c>
      <c r="G25" s="14" t="s">
        <v>66</v>
      </c>
      <c r="H25" s="14">
        <v>11</v>
      </c>
      <c r="I25" s="2">
        <v>1790</v>
      </c>
      <c r="J25" s="3">
        <v>15</v>
      </c>
      <c r="K25" s="2">
        <v>16736.5</v>
      </c>
      <c r="L25" s="2">
        <v>11715</v>
      </c>
      <c r="M25" s="2">
        <v>5021.5</v>
      </c>
      <c r="N25" s="14" t="s">
        <v>44</v>
      </c>
      <c r="O25" s="14">
        <v>4</v>
      </c>
      <c r="V25" s="2"/>
    </row>
    <row r="26" spans="1:22">
      <c r="A26">
        <v>10028</v>
      </c>
      <c r="B26" s="7" t="s">
        <v>153</v>
      </c>
      <c r="C26" s="14" t="s">
        <v>137</v>
      </c>
      <c r="D26" s="14" t="s">
        <v>39</v>
      </c>
      <c r="E26" s="14" t="s">
        <v>58</v>
      </c>
      <c r="F26" s="14" t="s">
        <v>37</v>
      </c>
      <c r="G26" s="14" t="s">
        <v>72</v>
      </c>
      <c r="H26" s="14">
        <v>13</v>
      </c>
      <c r="I26" s="2">
        <v>220</v>
      </c>
      <c r="J26" s="3">
        <v>20</v>
      </c>
      <c r="K26" s="2">
        <v>2288</v>
      </c>
      <c r="L26" s="2">
        <v>1327</v>
      </c>
      <c r="M26" s="2">
        <v>961</v>
      </c>
      <c r="N26" s="14" t="s">
        <v>47</v>
      </c>
      <c r="O26" s="14">
        <v>3</v>
      </c>
      <c r="V26" s="2"/>
    </row>
    <row r="27" spans="1:22">
      <c r="A27">
        <v>10029</v>
      </c>
      <c r="B27" s="7" t="s">
        <v>154</v>
      </c>
      <c r="C27" s="14" t="s">
        <v>147</v>
      </c>
      <c r="D27" s="14" t="s">
        <v>39</v>
      </c>
      <c r="E27" s="14" t="s">
        <v>61</v>
      </c>
      <c r="F27" s="14" t="s">
        <v>143</v>
      </c>
      <c r="G27" s="14" t="s">
        <v>74</v>
      </c>
      <c r="H27" s="14">
        <v>11</v>
      </c>
      <c r="I27" s="2">
        <v>1830</v>
      </c>
      <c r="J27" s="3">
        <v>10</v>
      </c>
      <c r="K27" s="2">
        <v>18117</v>
      </c>
      <c r="L27" s="2">
        <v>13044</v>
      </c>
      <c r="M27" s="2">
        <v>5073</v>
      </c>
      <c r="N27" s="14" t="s">
        <v>47</v>
      </c>
      <c r="O27" s="14">
        <v>5</v>
      </c>
      <c r="V27" s="2"/>
    </row>
    <row r="28" spans="1:22">
      <c r="A28">
        <v>10030</v>
      </c>
      <c r="B28" s="7" t="s">
        <v>155</v>
      </c>
      <c r="C28" s="14" t="s">
        <v>111</v>
      </c>
      <c r="D28" s="14" t="s">
        <v>45</v>
      </c>
      <c r="E28" s="14" t="s">
        <v>56</v>
      </c>
      <c r="F28" s="14" t="s">
        <v>57</v>
      </c>
      <c r="G28" s="14" t="s">
        <v>63</v>
      </c>
      <c r="H28" s="14">
        <v>7</v>
      </c>
      <c r="I28" s="2">
        <v>360</v>
      </c>
      <c r="J28" s="3">
        <v>10</v>
      </c>
      <c r="K28" s="2">
        <v>2268</v>
      </c>
      <c r="L28" s="2">
        <v>1474</v>
      </c>
      <c r="M28" s="2">
        <v>794</v>
      </c>
      <c r="N28" s="14" t="s">
        <v>41</v>
      </c>
      <c r="O28" s="14">
        <v>2</v>
      </c>
      <c r="V28" s="2"/>
    </row>
    <row r="29" spans="1:22">
      <c r="A29">
        <v>10032</v>
      </c>
      <c r="B29" s="7" t="s">
        <v>156</v>
      </c>
      <c r="C29" s="14" t="s">
        <v>147</v>
      </c>
      <c r="D29" s="14" t="s">
        <v>39</v>
      </c>
      <c r="E29" s="14" t="s">
        <v>61</v>
      </c>
      <c r="F29" s="14" t="s">
        <v>143</v>
      </c>
      <c r="G29" s="14" t="s">
        <v>66</v>
      </c>
      <c r="H29" s="14">
        <v>2</v>
      </c>
      <c r="I29" s="2">
        <v>620</v>
      </c>
      <c r="J29" s="3">
        <v>20</v>
      </c>
      <c r="K29" s="2">
        <v>992</v>
      </c>
      <c r="L29" s="2">
        <v>803</v>
      </c>
      <c r="M29" s="2">
        <v>189</v>
      </c>
      <c r="N29" s="14" t="s">
        <v>47</v>
      </c>
      <c r="O29" s="14">
        <v>1</v>
      </c>
      <c r="V29" s="2"/>
    </row>
    <row r="30" spans="1:22">
      <c r="A30">
        <v>10033</v>
      </c>
      <c r="B30" s="7" t="s">
        <v>157</v>
      </c>
      <c r="C30" s="14" t="s">
        <v>137</v>
      </c>
      <c r="D30" s="14" t="s">
        <v>45</v>
      </c>
      <c r="E30" s="14" t="s">
        <v>61</v>
      </c>
      <c r="F30" s="14" t="s">
        <v>46</v>
      </c>
      <c r="G30" s="14" t="s">
        <v>63</v>
      </c>
      <c r="H30" s="14">
        <v>4</v>
      </c>
      <c r="I30" s="2">
        <v>230</v>
      </c>
      <c r="J30" s="3">
        <v>0</v>
      </c>
      <c r="K30" s="2">
        <v>920</v>
      </c>
      <c r="L30" s="2">
        <v>542</v>
      </c>
      <c r="M30" s="2">
        <v>378</v>
      </c>
      <c r="N30" s="14" t="s">
        <v>41</v>
      </c>
      <c r="O30" s="14">
        <v>4</v>
      </c>
      <c r="V30" s="2"/>
    </row>
    <row r="31" spans="1:22">
      <c r="A31">
        <v>10034</v>
      </c>
      <c r="B31" s="7" t="s">
        <v>158</v>
      </c>
      <c r="C31" s="14" t="s">
        <v>120</v>
      </c>
      <c r="D31" s="14" t="s">
        <v>45</v>
      </c>
      <c r="E31" s="14" t="s">
        <v>61</v>
      </c>
      <c r="F31" s="14" t="s">
        <v>51</v>
      </c>
      <c r="G31" s="14" t="s">
        <v>64</v>
      </c>
      <c r="H31" s="14">
        <v>10</v>
      </c>
      <c r="I31" s="2">
        <v>430</v>
      </c>
      <c r="J31" s="3">
        <v>15</v>
      </c>
      <c r="K31" s="2">
        <v>3655</v>
      </c>
      <c r="L31" s="2">
        <v>3070</v>
      </c>
      <c r="M31" s="2">
        <v>585</v>
      </c>
      <c r="N31" s="14" t="s">
        <v>38</v>
      </c>
      <c r="O31" s="14">
        <v>4</v>
      </c>
      <c r="V31" s="2"/>
    </row>
    <row r="32" spans="1:22">
      <c r="A32">
        <v>10035</v>
      </c>
      <c r="B32" s="7" t="s">
        <v>159</v>
      </c>
      <c r="C32" s="14" t="s">
        <v>141</v>
      </c>
      <c r="D32" s="14" t="s">
        <v>36</v>
      </c>
      <c r="E32" s="14" t="s">
        <v>56</v>
      </c>
      <c r="F32" s="14" t="s">
        <v>150</v>
      </c>
      <c r="G32" s="14" t="s">
        <v>63</v>
      </c>
      <c r="H32" s="14">
        <v>11</v>
      </c>
      <c r="I32" s="2">
        <v>450</v>
      </c>
      <c r="J32" s="3">
        <v>0</v>
      </c>
      <c r="K32" s="2">
        <v>4950</v>
      </c>
      <c r="L32" s="2">
        <v>3366</v>
      </c>
      <c r="M32" s="2">
        <v>1584</v>
      </c>
      <c r="N32" s="14" t="s">
        <v>47</v>
      </c>
      <c r="O32" s="14">
        <v>2</v>
      </c>
      <c r="V32" s="2"/>
    </row>
    <row r="33" spans="1:22">
      <c r="A33">
        <v>10036</v>
      </c>
      <c r="B33" s="7" t="s">
        <v>160</v>
      </c>
      <c r="C33" s="14" t="s">
        <v>130</v>
      </c>
      <c r="D33" s="14" t="s">
        <v>45</v>
      </c>
      <c r="E33" s="14" t="s">
        <v>56</v>
      </c>
      <c r="F33" s="14" t="s">
        <v>50</v>
      </c>
      <c r="G33" s="14" t="s">
        <v>72</v>
      </c>
      <c r="H33" s="14">
        <v>8</v>
      </c>
      <c r="I33" s="2">
        <v>700</v>
      </c>
      <c r="J33" s="3">
        <v>20</v>
      </c>
      <c r="K33" s="2">
        <v>4480</v>
      </c>
      <c r="L33" s="2">
        <v>3494</v>
      </c>
      <c r="M33" s="2">
        <v>986</v>
      </c>
      <c r="N33" s="14" t="s">
        <v>44</v>
      </c>
      <c r="O33" s="14">
        <v>3</v>
      </c>
      <c r="V33" s="2"/>
    </row>
    <row r="34" spans="1:22">
      <c r="A34">
        <v>10037</v>
      </c>
      <c r="B34" s="7" t="s">
        <v>161</v>
      </c>
      <c r="C34" s="14" t="s">
        <v>111</v>
      </c>
      <c r="D34" s="14" t="s">
        <v>36</v>
      </c>
      <c r="E34" s="14" t="s">
        <v>56</v>
      </c>
      <c r="F34" s="14" t="s">
        <v>50</v>
      </c>
      <c r="G34" s="14" t="s">
        <v>70</v>
      </c>
      <c r="H34" s="14">
        <v>9</v>
      </c>
      <c r="I34" s="2">
        <v>230</v>
      </c>
      <c r="J34" s="3">
        <v>10</v>
      </c>
      <c r="K34" s="2">
        <v>1863</v>
      </c>
      <c r="L34" s="2">
        <v>1061</v>
      </c>
      <c r="M34" s="2">
        <v>802</v>
      </c>
      <c r="N34" s="14" t="s">
        <v>44</v>
      </c>
      <c r="O34" s="14">
        <v>1</v>
      </c>
      <c r="V34" s="2"/>
    </row>
    <row r="35" spans="1:22">
      <c r="A35">
        <v>10038</v>
      </c>
      <c r="B35" s="7" t="s">
        <v>162</v>
      </c>
      <c r="C35" s="14" t="s">
        <v>147</v>
      </c>
      <c r="D35" s="14" t="s">
        <v>36</v>
      </c>
      <c r="E35" s="14" t="s">
        <v>61</v>
      </c>
      <c r="F35" s="14" t="s">
        <v>51</v>
      </c>
      <c r="G35" s="14" t="s">
        <v>66</v>
      </c>
      <c r="H35" s="14">
        <v>1</v>
      </c>
      <c r="I35" s="2">
        <v>730</v>
      </c>
      <c r="J35" s="3">
        <v>15</v>
      </c>
      <c r="K35" s="2">
        <v>620.5</v>
      </c>
      <c r="L35" s="2">
        <v>440</v>
      </c>
      <c r="M35" s="2">
        <v>180.5</v>
      </c>
      <c r="N35" s="14" t="s">
        <v>38</v>
      </c>
      <c r="O35" s="14">
        <v>3</v>
      </c>
      <c r="V35" s="2"/>
    </row>
    <row r="36" spans="1:22">
      <c r="A36">
        <v>10039</v>
      </c>
      <c r="B36" s="7" t="s">
        <v>163</v>
      </c>
      <c r="C36" s="14" t="s">
        <v>147</v>
      </c>
      <c r="D36" s="14" t="s">
        <v>42</v>
      </c>
      <c r="E36" s="14" t="s">
        <v>61</v>
      </c>
      <c r="F36" s="14" t="s">
        <v>51</v>
      </c>
      <c r="G36" s="14" t="s">
        <v>66</v>
      </c>
      <c r="H36" s="14">
        <v>2</v>
      </c>
      <c r="I36" s="2">
        <v>630</v>
      </c>
      <c r="J36" s="3">
        <v>0</v>
      </c>
      <c r="K36" s="2">
        <v>1260</v>
      </c>
      <c r="L36" s="2">
        <v>982</v>
      </c>
      <c r="M36" s="2">
        <v>278</v>
      </c>
      <c r="N36" s="14" t="s">
        <v>38</v>
      </c>
      <c r="O36" s="14">
        <v>2</v>
      </c>
      <c r="V36" s="2"/>
    </row>
    <row r="37" spans="1:22">
      <c r="A37">
        <v>10040</v>
      </c>
      <c r="B37" s="7" t="s">
        <v>164</v>
      </c>
      <c r="C37" s="14" t="s">
        <v>120</v>
      </c>
      <c r="D37" s="14" t="s">
        <v>39</v>
      </c>
      <c r="E37" s="14" t="s">
        <v>58</v>
      </c>
      <c r="F37" s="14" t="s">
        <v>40</v>
      </c>
      <c r="G37" s="14" t="s">
        <v>68</v>
      </c>
      <c r="H37" s="14">
        <v>6</v>
      </c>
      <c r="I37" s="2">
        <v>670</v>
      </c>
      <c r="J37" s="3">
        <v>5</v>
      </c>
      <c r="K37" s="2">
        <v>3819</v>
      </c>
      <c r="L37" s="2">
        <v>3131</v>
      </c>
      <c r="M37" s="2">
        <v>688</v>
      </c>
      <c r="N37" s="14" t="s">
        <v>47</v>
      </c>
      <c r="O37" s="14">
        <v>3</v>
      </c>
      <c r="V37" s="2"/>
    </row>
    <row r="38" spans="1:22">
      <c r="A38">
        <v>10041</v>
      </c>
      <c r="B38" s="7" t="s">
        <v>165</v>
      </c>
      <c r="C38" s="14" t="s">
        <v>120</v>
      </c>
      <c r="D38" s="14" t="s">
        <v>45</v>
      </c>
      <c r="E38" s="14" t="s">
        <v>58</v>
      </c>
      <c r="F38" s="14" t="s">
        <v>40</v>
      </c>
      <c r="G38" s="14" t="s">
        <v>72</v>
      </c>
      <c r="H38" s="14">
        <v>9</v>
      </c>
      <c r="I38" s="2">
        <v>630</v>
      </c>
      <c r="J38" s="3">
        <v>10</v>
      </c>
      <c r="K38" s="2">
        <v>5103</v>
      </c>
      <c r="L38" s="2">
        <v>3419</v>
      </c>
      <c r="M38" s="2">
        <v>1684</v>
      </c>
      <c r="N38" s="14" t="s">
        <v>41</v>
      </c>
      <c r="O38" s="14">
        <v>3</v>
      </c>
      <c r="V38" s="2"/>
    </row>
    <row r="39" spans="1:22">
      <c r="A39">
        <v>10042</v>
      </c>
      <c r="B39" s="7" t="s">
        <v>166</v>
      </c>
      <c r="C39" s="14" t="s">
        <v>116</v>
      </c>
      <c r="D39" s="14" t="s">
        <v>36</v>
      </c>
      <c r="E39" s="14" t="s">
        <v>61</v>
      </c>
      <c r="F39" s="14" t="s">
        <v>51</v>
      </c>
      <c r="G39" s="14" t="s">
        <v>64</v>
      </c>
      <c r="H39" s="14">
        <v>6</v>
      </c>
      <c r="I39" s="2">
        <v>1410</v>
      </c>
      <c r="J39" s="3">
        <v>10</v>
      </c>
      <c r="K39" s="2">
        <v>7614</v>
      </c>
      <c r="L39" s="2">
        <v>4187</v>
      </c>
      <c r="M39" s="2">
        <v>3427</v>
      </c>
      <c r="N39" s="14" t="s">
        <v>38</v>
      </c>
      <c r="O39" s="14">
        <v>3</v>
      </c>
      <c r="V39" s="2"/>
    </row>
    <row r="40" spans="1:22">
      <c r="A40">
        <v>10043</v>
      </c>
      <c r="B40" s="7" t="s">
        <v>167</v>
      </c>
      <c r="C40" s="14" t="s">
        <v>141</v>
      </c>
      <c r="D40" s="14" t="s">
        <v>39</v>
      </c>
      <c r="E40" s="14" t="s">
        <v>61</v>
      </c>
      <c r="F40" s="14" t="s">
        <v>46</v>
      </c>
      <c r="G40" s="14" t="s">
        <v>72</v>
      </c>
      <c r="H40" s="14">
        <v>1</v>
      </c>
      <c r="I40" s="2">
        <v>810</v>
      </c>
      <c r="J40" s="3">
        <v>20</v>
      </c>
      <c r="K40" s="2">
        <v>648</v>
      </c>
      <c r="L40" s="2">
        <v>414</v>
      </c>
      <c r="M40" s="2">
        <v>234</v>
      </c>
      <c r="N40" s="14" t="s">
        <v>38</v>
      </c>
      <c r="O40" s="14">
        <v>5</v>
      </c>
      <c r="V40" s="2"/>
    </row>
    <row r="41" spans="1:22">
      <c r="A41">
        <v>10044</v>
      </c>
      <c r="B41" s="7" t="s">
        <v>168</v>
      </c>
      <c r="C41" s="14" t="s">
        <v>137</v>
      </c>
      <c r="D41" s="14" t="s">
        <v>39</v>
      </c>
      <c r="E41" s="14" t="s">
        <v>58</v>
      </c>
      <c r="F41" s="14" t="s">
        <v>37</v>
      </c>
      <c r="G41" s="14" t="s">
        <v>72</v>
      </c>
      <c r="H41" s="14">
        <v>15</v>
      </c>
      <c r="I41" s="2">
        <v>640</v>
      </c>
      <c r="J41" s="3">
        <v>15</v>
      </c>
      <c r="K41" s="2">
        <v>8160</v>
      </c>
      <c r="L41" s="2">
        <v>6772</v>
      </c>
      <c r="M41" s="2">
        <v>1388</v>
      </c>
      <c r="N41" s="14" t="s">
        <v>47</v>
      </c>
      <c r="O41" s="14">
        <v>2</v>
      </c>
      <c r="V41" s="2"/>
    </row>
    <row r="42" spans="1:22">
      <c r="A42">
        <v>10045</v>
      </c>
      <c r="B42" s="7" t="s">
        <v>169</v>
      </c>
      <c r="C42" s="14" t="s">
        <v>125</v>
      </c>
      <c r="D42" s="14" t="s">
        <v>42</v>
      </c>
      <c r="E42" s="14" t="s">
        <v>61</v>
      </c>
      <c r="F42" s="14" t="s">
        <v>46</v>
      </c>
      <c r="G42" s="14" t="s">
        <v>70</v>
      </c>
      <c r="H42" s="14">
        <v>4</v>
      </c>
      <c r="I42" s="2">
        <v>1090</v>
      </c>
      <c r="J42" s="3">
        <v>0</v>
      </c>
      <c r="K42" s="2">
        <v>4360</v>
      </c>
      <c r="L42" s="2">
        <v>2398</v>
      </c>
      <c r="M42" s="2">
        <v>1962</v>
      </c>
      <c r="N42" s="14" t="s">
        <v>47</v>
      </c>
      <c r="O42" s="14">
        <v>2</v>
      </c>
      <c r="V42" s="2"/>
    </row>
    <row r="43" spans="1:22">
      <c r="A43">
        <v>10046</v>
      </c>
      <c r="B43" s="7" t="s">
        <v>115</v>
      </c>
      <c r="C43" s="14" t="s">
        <v>111</v>
      </c>
      <c r="D43" s="14" t="s">
        <v>39</v>
      </c>
      <c r="E43" s="14" t="s">
        <v>61</v>
      </c>
      <c r="F43" s="14" t="s">
        <v>51</v>
      </c>
      <c r="G43" s="14" t="s">
        <v>66</v>
      </c>
      <c r="H43" s="14">
        <v>9</v>
      </c>
      <c r="I43" s="2">
        <v>1730</v>
      </c>
      <c r="J43" s="3">
        <v>10</v>
      </c>
      <c r="K43" s="2">
        <v>14013</v>
      </c>
      <c r="L43" s="2">
        <v>10089</v>
      </c>
      <c r="M43" s="2">
        <v>3924</v>
      </c>
      <c r="N43" s="14" t="s">
        <v>47</v>
      </c>
      <c r="O43" s="14">
        <v>5</v>
      </c>
      <c r="V43" s="2"/>
    </row>
    <row r="44" spans="1:22">
      <c r="A44">
        <v>10047</v>
      </c>
      <c r="B44" s="7" t="s">
        <v>170</v>
      </c>
      <c r="C44" s="14" t="s">
        <v>128</v>
      </c>
      <c r="D44" s="14" t="s">
        <v>42</v>
      </c>
      <c r="E44" s="14" t="s">
        <v>58</v>
      </c>
      <c r="F44" s="14" t="s">
        <v>55</v>
      </c>
      <c r="G44" s="14" t="s">
        <v>66</v>
      </c>
      <c r="H44" s="14">
        <v>15</v>
      </c>
      <c r="I44" s="2">
        <v>760</v>
      </c>
      <c r="J44" s="3">
        <v>10</v>
      </c>
      <c r="K44" s="2">
        <v>10260</v>
      </c>
      <c r="L44" s="2">
        <v>7387</v>
      </c>
      <c r="M44" s="2">
        <v>2873</v>
      </c>
      <c r="N44" s="14" t="s">
        <v>47</v>
      </c>
      <c r="O44" s="14">
        <v>4</v>
      </c>
      <c r="V44" s="2"/>
    </row>
    <row r="45" spans="1:22">
      <c r="A45">
        <v>10048</v>
      </c>
      <c r="B45" s="7" t="s">
        <v>171</v>
      </c>
      <c r="C45" s="14" t="s">
        <v>147</v>
      </c>
      <c r="D45" s="14" t="s">
        <v>45</v>
      </c>
      <c r="E45" s="14" t="s">
        <v>56</v>
      </c>
      <c r="F45" s="14" t="s">
        <v>150</v>
      </c>
      <c r="G45" s="14" t="s">
        <v>64</v>
      </c>
      <c r="H45" s="14">
        <v>4</v>
      </c>
      <c r="I45" s="2">
        <v>390</v>
      </c>
      <c r="J45" s="3">
        <v>15</v>
      </c>
      <c r="K45" s="2">
        <v>1326</v>
      </c>
      <c r="L45" s="2">
        <v>967</v>
      </c>
      <c r="M45" s="2">
        <v>359</v>
      </c>
      <c r="N45" s="14" t="s">
        <v>41</v>
      </c>
      <c r="O45" s="14">
        <v>4</v>
      </c>
      <c r="V45" s="2"/>
    </row>
    <row r="46" spans="1:22">
      <c r="A46">
        <v>10049</v>
      </c>
      <c r="B46" s="7" t="s">
        <v>172</v>
      </c>
      <c r="C46" s="14" t="s">
        <v>125</v>
      </c>
      <c r="D46" s="14" t="s">
        <v>39</v>
      </c>
      <c r="E46" s="14" t="s">
        <v>61</v>
      </c>
      <c r="F46" s="14" t="s">
        <v>51</v>
      </c>
      <c r="G46" s="14" t="s">
        <v>74</v>
      </c>
      <c r="H46" s="14">
        <v>13</v>
      </c>
      <c r="I46" s="2">
        <v>1050</v>
      </c>
      <c r="J46" s="3">
        <v>20</v>
      </c>
      <c r="K46" s="2">
        <v>10920</v>
      </c>
      <c r="L46" s="2">
        <v>8736</v>
      </c>
      <c r="M46" s="2">
        <v>2184</v>
      </c>
      <c r="N46" s="14" t="s">
        <v>47</v>
      </c>
      <c r="O46" s="14">
        <v>1</v>
      </c>
      <c r="V46" s="2"/>
    </row>
    <row r="47" spans="1:22">
      <c r="A47">
        <v>10050</v>
      </c>
      <c r="B47" s="7" t="s">
        <v>173</v>
      </c>
      <c r="C47" s="14" t="s">
        <v>137</v>
      </c>
      <c r="D47" s="14" t="s">
        <v>39</v>
      </c>
      <c r="E47" s="14" t="s">
        <v>61</v>
      </c>
      <c r="F47" s="14" t="s">
        <v>46</v>
      </c>
      <c r="G47" s="14" t="s">
        <v>68</v>
      </c>
      <c r="H47" s="14">
        <v>4</v>
      </c>
      <c r="I47" s="2">
        <v>730</v>
      </c>
      <c r="J47" s="3">
        <v>0</v>
      </c>
      <c r="K47" s="2">
        <v>2920</v>
      </c>
      <c r="L47" s="2">
        <v>1898</v>
      </c>
      <c r="M47" s="2">
        <v>1022</v>
      </c>
      <c r="N47" s="14" t="s">
        <v>47</v>
      </c>
      <c r="O47" s="14">
        <v>1</v>
      </c>
      <c r="V47" s="2"/>
    </row>
    <row r="48" spans="1:22">
      <c r="A48">
        <v>10051</v>
      </c>
      <c r="B48" s="7" t="s">
        <v>174</v>
      </c>
      <c r="C48" s="14" t="s">
        <v>120</v>
      </c>
      <c r="D48" s="14" t="s">
        <v>45</v>
      </c>
      <c r="E48" s="14" t="s">
        <v>61</v>
      </c>
      <c r="F48" s="14" t="s">
        <v>46</v>
      </c>
      <c r="G48" s="14" t="s">
        <v>64</v>
      </c>
      <c r="H48" s="14">
        <v>12</v>
      </c>
      <c r="I48" s="2">
        <v>680</v>
      </c>
      <c r="J48" s="3">
        <v>15</v>
      </c>
      <c r="K48" s="2">
        <v>6936</v>
      </c>
      <c r="L48" s="2">
        <v>5271</v>
      </c>
      <c r="M48" s="2">
        <v>1665</v>
      </c>
      <c r="N48" s="14" t="s">
        <v>38</v>
      </c>
      <c r="O48" s="14">
        <v>5</v>
      </c>
      <c r="V48" s="2"/>
    </row>
    <row r="49" spans="1:22">
      <c r="A49">
        <v>10052</v>
      </c>
      <c r="B49" s="7" t="s">
        <v>175</v>
      </c>
      <c r="C49" s="14" t="s">
        <v>111</v>
      </c>
      <c r="D49" s="14" t="s">
        <v>42</v>
      </c>
      <c r="E49" s="14" t="s">
        <v>56</v>
      </c>
      <c r="F49" s="14" t="s">
        <v>131</v>
      </c>
      <c r="G49" s="14" t="s">
        <v>72</v>
      </c>
      <c r="H49" s="14">
        <v>7</v>
      </c>
      <c r="I49" s="2">
        <v>580</v>
      </c>
      <c r="J49" s="3">
        <v>10</v>
      </c>
      <c r="K49" s="2">
        <v>3654</v>
      </c>
      <c r="L49" s="2">
        <v>2521</v>
      </c>
      <c r="M49" s="2">
        <v>1133</v>
      </c>
      <c r="N49" s="14" t="s">
        <v>47</v>
      </c>
      <c r="O49" s="14">
        <v>3</v>
      </c>
      <c r="V49" s="2"/>
    </row>
    <row r="50" spans="1:22">
      <c r="A50">
        <v>10053</v>
      </c>
      <c r="B50" s="7" t="s">
        <v>176</v>
      </c>
      <c r="C50" s="14" t="s">
        <v>116</v>
      </c>
      <c r="D50" s="14" t="s">
        <v>42</v>
      </c>
      <c r="E50" s="14" t="s">
        <v>61</v>
      </c>
      <c r="F50" s="14" t="s">
        <v>52</v>
      </c>
      <c r="G50" s="14" t="s">
        <v>66</v>
      </c>
      <c r="H50" s="14">
        <v>6</v>
      </c>
      <c r="I50" s="2">
        <v>240</v>
      </c>
      <c r="J50" s="3">
        <v>20</v>
      </c>
      <c r="K50" s="2">
        <v>1152</v>
      </c>
      <c r="L50" s="2">
        <v>956</v>
      </c>
      <c r="M50" s="2">
        <v>196</v>
      </c>
      <c r="N50" s="14" t="s">
        <v>41</v>
      </c>
      <c r="O50" s="14">
        <v>1</v>
      </c>
      <c r="V50" s="2"/>
    </row>
    <row r="51" spans="1:22">
      <c r="A51">
        <v>10054</v>
      </c>
      <c r="B51" s="7" t="s">
        <v>177</v>
      </c>
      <c r="C51" s="14" t="s">
        <v>125</v>
      </c>
      <c r="D51" s="14" t="s">
        <v>36</v>
      </c>
      <c r="E51" s="14" t="s">
        <v>61</v>
      </c>
      <c r="F51" s="14" t="s">
        <v>46</v>
      </c>
      <c r="G51" s="14" t="s">
        <v>74</v>
      </c>
      <c r="H51" s="14">
        <v>8</v>
      </c>
      <c r="I51" s="2">
        <v>1150</v>
      </c>
      <c r="J51" s="3">
        <v>0</v>
      </c>
      <c r="K51" s="2">
        <v>9200</v>
      </c>
      <c r="L51" s="2">
        <v>5796</v>
      </c>
      <c r="M51" s="2">
        <v>3404</v>
      </c>
      <c r="N51" s="14" t="s">
        <v>44</v>
      </c>
      <c r="O51" s="14">
        <v>2</v>
      </c>
      <c r="V51" s="2"/>
    </row>
    <row r="52" spans="1:22">
      <c r="A52">
        <v>10055</v>
      </c>
      <c r="B52" s="7" t="s">
        <v>178</v>
      </c>
      <c r="C52" s="14" t="s">
        <v>116</v>
      </c>
      <c r="D52" s="14" t="s">
        <v>36</v>
      </c>
      <c r="E52" s="14" t="s">
        <v>56</v>
      </c>
      <c r="F52" s="14" t="s">
        <v>57</v>
      </c>
      <c r="G52" s="14" t="s">
        <v>74</v>
      </c>
      <c r="H52" s="14">
        <v>3</v>
      </c>
      <c r="I52" s="2">
        <v>1840</v>
      </c>
      <c r="J52" s="3">
        <v>10</v>
      </c>
      <c r="K52" s="2">
        <v>4968</v>
      </c>
      <c r="L52" s="2">
        <v>3576</v>
      </c>
      <c r="M52" s="2">
        <v>1392</v>
      </c>
      <c r="N52" s="14" t="s">
        <v>38</v>
      </c>
      <c r="O52" s="14">
        <v>5</v>
      </c>
      <c r="V52" s="2"/>
    </row>
    <row r="53" spans="1:22">
      <c r="A53">
        <v>10056</v>
      </c>
      <c r="B53" s="7" t="s">
        <v>179</v>
      </c>
      <c r="C53" s="14" t="s">
        <v>116</v>
      </c>
      <c r="D53" s="14" t="s">
        <v>45</v>
      </c>
      <c r="E53" s="14" t="s">
        <v>56</v>
      </c>
      <c r="F53" s="14" t="s">
        <v>131</v>
      </c>
      <c r="G53" s="14" t="s">
        <v>70</v>
      </c>
      <c r="H53" s="14">
        <v>3</v>
      </c>
      <c r="I53" s="2">
        <v>340</v>
      </c>
      <c r="J53" s="3">
        <v>10</v>
      </c>
      <c r="K53" s="2">
        <v>918</v>
      </c>
      <c r="L53" s="2">
        <v>660</v>
      </c>
      <c r="M53" s="2">
        <v>258</v>
      </c>
      <c r="N53" s="14" t="s">
        <v>38</v>
      </c>
      <c r="O53" s="14">
        <v>2</v>
      </c>
      <c r="V53" s="2"/>
    </row>
    <row r="54" spans="1:22">
      <c r="A54">
        <v>10057</v>
      </c>
      <c r="B54" s="7" t="s">
        <v>180</v>
      </c>
      <c r="C54" s="14" t="s">
        <v>125</v>
      </c>
      <c r="D54" s="14" t="s">
        <v>36</v>
      </c>
      <c r="E54" s="14" t="s">
        <v>61</v>
      </c>
      <c r="F54" s="14" t="s">
        <v>51</v>
      </c>
      <c r="G54" s="14" t="s">
        <v>66</v>
      </c>
      <c r="H54" s="14">
        <v>14</v>
      </c>
      <c r="I54" s="2">
        <v>430</v>
      </c>
      <c r="J54" s="3">
        <v>10</v>
      </c>
      <c r="K54" s="2">
        <v>5418</v>
      </c>
      <c r="L54" s="2">
        <v>4551</v>
      </c>
      <c r="M54" s="2">
        <v>867</v>
      </c>
      <c r="N54" s="14" t="s">
        <v>38</v>
      </c>
      <c r="O54" s="14">
        <v>4</v>
      </c>
      <c r="V54" s="2"/>
    </row>
    <row r="55" spans="1:22">
      <c r="A55">
        <v>10058</v>
      </c>
      <c r="B55" s="7" t="s">
        <v>181</v>
      </c>
      <c r="C55" s="14" t="s">
        <v>137</v>
      </c>
      <c r="D55" s="14" t="s">
        <v>36</v>
      </c>
      <c r="E55" s="14" t="s">
        <v>58</v>
      </c>
      <c r="F55" s="14" t="s">
        <v>40</v>
      </c>
      <c r="G55" s="14" t="s">
        <v>70</v>
      </c>
      <c r="H55" s="14">
        <v>3</v>
      </c>
      <c r="I55" s="2">
        <v>510</v>
      </c>
      <c r="J55" s="3">
        <v>20</v>
      </c>
      <c r="K55" s="2">
        <v>1224</v>
      </c>
      <c r="L55" s="2">
        <v>856</v>
      </c>
      <c r="M55" s="2">
        <v>368</v>
      </c>
      <c r="N55" s="14" t="s">
        <v>41</v>
      </c>
      <c r="O55" s="14">
        <v>1</v>
      </c>
      <c r="V55" s="2"/>
    </row>
    <row r="56" spans="1:22">
      <c r="A56">
        <v>10059</v>
      </c>
      <c r="B56" s="7" t="s">
        <v>182</v>
      </c>
      <c r="C56" s="14" t="s">
        <v>147</v>
      </c>
      <c r="D56" s="14" t="s">
        <v>45</v>
      </c>
      <c r="E56" s="14" t="s">
        <v>58</v>
      </c>
      <c r="F56" s="14" t="s">
        <v>43</v>
      </c>
      <c r="G56" s="14" t="s">
        <v>70</v>
      </c>
      <c r="H56" s="14">
        <v>14</v>
      </c>
      <c r="I56" s="2">
        <v>780</v>
      </c>
      <c r="J56" s="3">
        <v>20</v>
      </c>
      <c r="K56" s="2">
        <v>8736</v>
      </c>
      <c r="L56" s="2">
        <v>4892</v>
      </c>
      <c r="M56" s="2">
        <v>3844</v>
      </c>
      <c r="N56" s="14" t="s">
        <v>44</v>
      </c>
      <c r="O56" s="14">
        <v>1</v>
      </c>
      <c r="V56" s="2"/>
    </row>
    <row r="57" spans="1:22">
      <c r="A57">
        <v>10060</v>
      </c>
      <c r="B57" s="7" t="s">
        <v>183</v>
      </c>
      <c r="C57" s="14" t="s">
        <v>116</v>
      </c>
      <c r="D57" s="14" t="s">
        <v>42</v>
      </c>
      <c r="E57" s="14" t="s">
        <v>61</v>
      </c>
      <c r="F57" s="14" t="s">
        <v>143</v>
      </c>
      <c r="G57" s="14" t="s">
        <v>74</v>
      </c>
      <c r="H57" s="14">
        <v>11</v>
      </c>
      <c r="I57" s="2">
        <v>980</v>
      </c>
      <c r="J57" s="3">
        <v>5</v>
      </c>
      <c r="K57" s="2">
        <v>10241</v>
      </c>
      <c r="L57" s="2">
        <v>8500</v>
      </c>
      <c r="M57" s="2">
        <v>1741</v>
      </c>
      <c r="N57" s="14" t="s">
        <v>38</v>
      </c>
      <c r="O57" s="14">
        <v>3</v>
      </c>
      <c r="V57" s="2"/>
    </row>
    <row r="58" spans="1:22">
      <c r="A58">
        <v>10061</v>
      </c>
      <c r="B58" s="7" t="s">
        <v>184</v>
      </c>
      <c r="C58" s="14" t="s">
        <v>116</v>
      </c>
      <c r="D58" s="14" t="s">
        <v>42</v>
      </c>
      <c r="E58" s="14" t="s">
        <v>61</v>
      </c>
      <c r="F58" s="14" t="s">
        <v>52</v>
      </c>
      <c r="G58" s="14" t="s">
        <v>74</v>
      </c>
      <c r="H58" s="14">
        <v>12</v>
      </c>
      <c r="I58" s="2">
        <v>1140</v>
      </c>
      <c r="J58" s="3">
        <v>20</v>
      </c>
      <c r="K58" s="2">
        <v>10944</v>
      </c>
      <c r="L58" s="2">
        <v>6675</v>
      </c>
      <c r="M58" s="2">
        <v>4269</v>
      </c>
      <c r="N58" s="14" t="s">
        <v>44</v>
      </c>
      <c r="O58" s="14">
        <v>2</v>
      </c>
      <c r="V58" s="2"/>
    </row>
    <row r="59" spans="1:22">
      <c r="A59">
        <v>10062</v>
      </c>
      <c r="B59" s="7" t="s">
        <v>185</v>
      </c>
      <c r="C59" s="14" t="s">
        <v>130</v>
      </c>
      <c r="D59" s="14" t="s">
        <v>39</v>
      </c>
      <c r="E59" s="14" t="s">
        <v>58</v>
      </c>
      <c r="F59" s="14" t="s">
        <v>43</v>
      </c>
      <c r="G59" s="14" t="s">
        <v>72</v>
      </c>
      <c r="H59" s="14">
        <v>11</v>
      </c>
      <c r="I59" s="2">
        <v>900</v>
      </c>
      <c r="J59" s="3">
        <v>10</v>
      </c>
      <c r="K59" s="2">
        <v>8910</v>
      </c>
      <c r="L59" s="2">
        <v>7128</v>
      </c>
      <c r="M59" s="2">
        <v>1782</v>
      </c>
      <c r="N59" s="14" t="s">
        <v>38</v>
      </c>
      <c r="O59" s="14">
        <v>3</v>
      </c>
      <c r="V59" s="2"/>
    </row>
    <row r="60" spans="1:22">
      <c r="A60">
        <v>10063</v>
      </c>
      <c r="B60" s="7" t="s">
        <v>186</v>
      </c>
      <c r="C60" s="14" t="s">
        <v>147</v>
      </c>
      <c r="D60" s="14" t="s">
        <v>36</v>
      </c>
      <c r="E60" s="14" t="s">
        <v>56</v>
      </c>
      <c r="F60" s="14" t="s">
        <v>49</v>
      </c>
      <c r="G60" s="14" t="s">
        <v>70</v>
      </c>
      <c r="H60" s="14">
        <v>6</v>
      </c>
      <c r="I60" s="2">
        <v>1500</v>
      </c>
      <c r="J60" s="3">
        <v>5</v>
      </c>
      <c r="K60" s="2">
        <v>8550</v>
      </c>
      <c r="L60" s="2">
        <v>7182</v>
      </c>
      <c r="M60" s="2">
        <v>1368</v>
      </c>
      <c r="N60" s="14" t="s">
        <v>47</v>
      </c>
      <c r="O60" s="14">
        <v>3</v>
      </c>
      <c r="V60" s="2"/>
    </row>
    <row r="61" spans="1:22">
      <c r="A61">
        <v>10064</v>
      </c>
      <c r="B61" s="7" t="s">
        <v>187</v>
      </c>
      <c r="C61" s="14" t="s">
        <v>111</v>
      </c>
      <c r="D61" s="14" t="s">
        <v>39</v>
      </c>
      <c r="E61" s="14" t="s">
        <v>56</v>
      </c>
      <c r="F61" s="14" t="s">
        <v>131</v>
      </c>
      <c r="G61" s="14" t="s">
        <v>63</v>
      </c>
      <c r="H61" s="14">
        <v>4</v>
      </c>
      <c r="I61" s="2">
        <v>600</v>
      </c>
      <c r="J61" s="3">
        <v>10</v>
      </c>
      <c r="K61" s="2">
        <v>2160</v>
      </c>
      <c r="L61" s="2">
        <v>1382</v>
      </c>
      <c r="M61" s="2">
        <v>778</v>
      </c>
      <c r="N61" s="14" t="s">
        <v>38</v>
      </c>
      <c r="O61" s="14">
        <v>2</v>
      </c>
      <c r="V61" s="2"/>
    </row>
    <row r="62" spans="1:22">
      <c r="A62">
        <v>10065</v>
      </c>
      <c r="B62" s="7" t="s">
        <v>188</v>
      </c>
      <c r="C62" s="14" t="s">
        <v>147</v>
      </c>
      <c r="D62" s="14" t="s">
        <v>45</v>
      </c>
      <c r="E62" s="14" t="s">
        <v>61</v>
      </c>
      <c r="F62" s="14" t="s">
        <v>52</v>
      </c>
      <c r="G62" s="14" t="s">
        <v>72</v>
      </c>
      <c r="H62" s="14">
        <v>10</v>
      </c>
      <c r="I62" s="2">
        <v>910</v>
      </c>
      <c r="J62" s="3">
        <v>20</v>
      </c>
      <c r="K62" s="2">
        <v>7280</v>
      </c>
      <c r="L62" s="2">
        <v>6042</v>
      </c>
      <c r="M62" s="2">
        <v>1238</v>
      </c>
      <c r="N62" s="14" t="s">
        <v>47</v>
      </c>
      <c r="O62" s="14">
        <v>1</v>
      </c>
      <c r="V62" s="2"/>
    </row>
    <row r="63" spans="1:22">
      <c r="A63">
        <v>10066</v>
      </c>
      <c r="B63" s="7" t="s">
        <v>140</v>
      </c>
      <c r="C63" s="14" t="s">
        <v>125</v>
      </c>
      <c r="D63" s="14" t="s">
        <v>42</v>
      </c>
      <c r="E63" s="14" t="s">
        <v>58</v>
      </c>
      <c r="F63" s="14" t="s">
        <v>55</v>
      </c>
      <c r="G63" s="14" t="s">
        <v>66</v>
      </c>
      <c r="H63" s="14">
        <v>4</v>
      </c>
      <c r="I63" s="2">
        <v>570</v>
      </c>
      <c r="J63" s="3">
        <v>10</v>
      </c>
      <c r="K63" s="2">
        <v>2052</v>
      </c>
      <c r="L63" s="2">
        <v>1415</v>
      </c>
      <c r="M63" s="2">
        <v>637</v>
      </c>
      <c r="N63" s="14" t="s">
        <v>41</v>
      </c>
      <c r="O63" s="14">
        <v>1</v>
      </c>
      <c r="V63" s="2"/>
    </row>
    <row r="64" spans="1:22">
      <c r="A64">
        <v>10067</v>
      </c>
      <c r="B64" s="7" t="s">
        <v>189</v>
      </c>
      <c r="C64" s="14" t="s">
        <v>147</v>
      </c>
      <c r="D64" s="14" t="s">
        <v>36</v>
      </c>
      <c r="E64" s="14" t="s">
        <v>58</v>
      </c>
      <c r="F64" s="14" t="s">
        <v>55</v>
      </c>
      <c r="G64" s="14" t="s">
        <v>64</v>
      </c>
      <c r="H64" s="14">
        <v>5</v>
      </c>
      <c r="I64" s="2">
        <v>1800</v>
      </c>
      <c r="J64" s="3">
        <v>0</v>
      </c>
      <c r="K64" s="2">
        <v>9000</v>
      </c>
      <c r="L64" s="2">
        <v>7290</v>
      </c>
      <c r="M64" s="2">
        <v>1710</v>
      </c>
      <c r="N64" s="14" t="s">
        <v>41</v>
      </c>
      <c r="O64" s="14">
        <v>3</v>
      </c>
      <c r="V64" s="2"/>
    </row>
    <row r="65" spans="1:22">
      <c r="A65">
        <v>10068</v>
      </c>
      <c r="B65" s="7" t="s">
        <v>189</v>
      </c>
      <c r="C65" s="14" t="s">
        <v>111</v>
      </c>
      <c r="D65" s="14" t="s">
        <v>39</v>
      </c>
      <c r="E65" s="14" t="s">
        <v>56</v>
      </c>
      <c r="F65" s="14" t="s">
        <v>57</v>
      </c>
      <c r="G65" s="14" t="s">
        <v>74</v>
      </c>
      <c r="H65" s="14">
        <v>14</v>
      </c>
      <c r="I65" s="2">
        <v>390</v>
      </c>
      <c r="J65" s="3">
        <v>0</v>
      </c>
      <c r="K65" s="2">
        <v>5460</v>
      </c>
      <c r="L65" s="2">
        <v>3494</v>
      </c>
      <c r="M65" s="2">
        <v>1966</v>
      </c>
      <c r="N65" s="14" t="s">
        <v>41</v>
      </c>
      <c r="O65" s="14">
        <v>5</v>
      </c>
      <c r="V65" s="2"/>
    </row>
    <row r="66" spans="1:22">
      <c r="A66">
        <v>10069</v>
      </c>
      <c r="B66" s="7" t="s">
        <v>190</v>
      </c>
      <c r="C66" s="14" t="s">
        <v>125</v>
      </c>
      <c r="D66" s="14" t="s">
        <v>45</v>
      </c>
      <c r="E66" s="14" t="s">
        <v>56</v>
      </c>
      <c r="F66" s="14" t="s">
        <v>57</v>
      </c>
      <c r="G66" s="14" t="s">
        <v>74</v>
      </c>
      <c r="H66" s="14">
        <v>11</v>
      </c>
      <c r="I66" s="2">
        <v>1130</v>
      </c>
      <c r="J66" s="3">
        <v>15</v>
      </c>
      <c r="K66" s="2">
        <v>10565.5</v>
      </c>
      <c r="L66" s="2">
        <v>6550</v>
      </c>
      <c r="M66" s="2">
        <v>4015.5</v>
      </c>
      <c r="N66" s="14" t="s">
        <v>47</v>
      </c>
      <c r="O66" s="14">
        <v>2</v>
      </c>
      <c r="V66" s="2"/>
    </row>
    <row r="67" spans="1:22">
      <c r="A67">
        <v>10070</v>
      </c>
      <c r="B67" s="7" t="s">
        <v>191</v>
      </c>
      <c r="C67" s="14" t="s">
        <v>125</v>
      </c>
      <c r="D67" s="14" t="s">
        <v>36</v>
      </c>
      <c r="E67" s="14" t="s">
        <v>61</v>
      </c>
      <c r="F67" s="14" t="s">
        <v>117</v>
      </c>
      <c r="G67" s="14" t="s">
        <v>66</v>
      </c>
      <c r="H67" s="14">
        <v>9</v>
      </c>
      <c r="I67" s="2">
        <v>1260</v>
      </c>
      <c r="J67" s="3">
        <v>0</v>
      </c>
      <c r="K67" s="2">
        <v>11340</v>
      </c>
      <c r="L67" s="2">
        <v>7030</v>
      </c>
      <c r="M67" s="2">
        <v>4310</v>
      </c>
      <c r="N67" s="14" t="s">
        <v>47</v>
      </c>
      <c r="O67" s="14">
        <v>5</v>
      </c>
      <c r="V67" s="2"/>
    </row>
    <row r="68" spans="1:22">
      <c r="A68">
        <v>10071</v>
      </c>
      <c r="B68" s="7" t="s">
        <v>192</v>
      </c>
      <c r="C68" s="14" t="s">
        <v>128</v>
      </c>
      <c r="D68" s="14" t="s">
        <v>39</v>
      </c>
      <c r="E68" s="14" t="s">
        <v>58</v>
      </c>
      <c r="F68" s="14" t="s">
        <v>40</v>
      </c>
      <c r="G68" s="14" t="s">
        <v>70</v>
      </c>
      <c r="H68" s="14">
        <v>2</v>
      </c>
      <c r="I68" s="2">
        <v>650</v>
      </c>
      <c r="J68" s="3">
        <v>5</v>
      </c>
      <c r="K68" s="2">
        <v>1235</v>
      </c>
      <c r="L68" s="2">
        <v>679</v>
      </c>
      <c r="M68" s="2">
        <v>556</v>
      </c>
      <c r="N68" s="14" t="s">
        <v>44</v>
      </c>
      <c r="O68" s="14">
        <v>4</v>
      </c>
      <c r="V68" s="2"/>
    </row>
    <row r="69" spans="1:22">
      <c r="A69">
        <v>10072</v>
      </c>
      <c r="B69" s="7" t="s">
        <v>193</v>
      </c>
      <c r="C69" s="14" t="s">
        <v>135</v>
      </c>
      <c r="D69" s="14" t="s">
        <v>45</v>
      </c>
      <c r="E69" s="14" t="s">
        <v>56</v>
      </c>
      <c r="F69" s="14" t="s">
        <v>131</v>
      </c>
      <c r="G69" s="14" t="s">
        <v>63</v>
      </c>
      <c r="H69" s="14">
        <v>8</v>
      </c>
      <c r="I69" s="2">
        <v>1260</v>
      </c>
      <c r="J69" s="3">
        <v>10</v>
      </c>
      <c r="K69" s="2">
        <v>9072</v>
      </c>
      <c r="L69" s="2">
        <v>6804</v>
      </c>
      <c r="M69" s="2">
        <v>2268</v>
      </c>
      <c r="N69" s="14" t="s">
        <v>44</v>
      </c>
      <c r="O69" s="14">
        <v>1</v>
      </c>
      <c r="V69" s="2"/>
    </row>
    <row r="70" spans="1:22">
      <c r="A70">
        <v>10073</v>
      </c>
      <c r="B70" s="7" t="s">
        <v>194</v>
      </c>
      <c r="C70" s="14" t="s">
        <v>130</v>
      </c>
      <c r="D70" s="14" t="s">
        <v>39</v>
      </c>
      <c r="E70" s="14" t="s">
        <v>61</v>
      </c>
      <c r="F70" s="14" t="s">
        <v>51</v>
      </c>
      <c r="G70" s="14" t="s">
        <v>64</v>
      </c>
      <c r="H70" s="14">
        <v>9</v>
      </c>
      <c r="I70" s="2">
        <v>1770</v>
      </c>
      <c r="J70" s="3">
        <v>10</v>
      </c>
      <c r="K70" s="2">
        <v>14337</v>
      </c>
      <c r="L70" s="2">
        <v>9605</v>
      </c>
      <c r="M70" s="2">
        <v>4732</v>
      </c>
      <c r="N70" s="14" t="s">
        <v>47</v>
      </c>
      <c r="O70" s="14">
        <v>1</v>
      </c>
      <c r="V70" s="2"/>
    </row>
    <row r="71" spans="1:22">
      <c r="A71">
        <v>10074</v>
      </c>
      <c r="B71" s="7" t="s">
        <v>195</v>
      </c>
      <c r="C71" s="14" t="s">
        <v>111</v>
      </c>
      <c r="D71" s="14" t="s">
        <v>39</v>
      </c>
      <c r="E71" s="14" t="s">
        <v>58</v>
      </c>
      <c r="F71" s="14" t="s">
        <v>55</v>
      </c>
      <c r="G71" s="14" t="s">
        <v>72</v>
      </c>
      <c r="H71" s="14">
        <v>7</v>
      </c>
      <c r="I71" s="2">
        <v>280</v>
      </c>
      <c r="J71" s="3">
        <v>0</v>
      </c>
      <c r="K71" s="2">
        <v>1960</v>
      </c>
      <c r="L71" s="2">
        <v>1313</v>
      </c>
      <c r="M71" s="2">
        <v>647</v>
      </c>
      <c r="N71" s="14" t="s">
        <v>41</v>
      </c>
      <c r="O71" s="14">
        <v>3</v>
      </c>
      <c r="V71" s="2"/>
    </row>
    <row r="72" spans="1:22">
      <c r="A72">
        <v>10075</v>
      </c>
      <c r="B72" s="7" t="s">
        <v>196</v>
      </c>
      <c r="C72" s="14" t="s">
        <v>135</v>
      </c>
      <c r="D72" s="14" t="s">
        <v>45</v>
      </c>
      <c r="E72" s="14" t="s">
        <v>58</v>
      </c>
      <c r="F72" s="14" t="s">
        <v>43</v>
      </c>
      <c r="G72" s="14" t="s">
        <v>72</v>
      </c>
      <c r="H72" s="14">
        <v>1</v>
      </c>
      <c r="I72" s="2">
        <v>240</v>
      </c>
      <c r="J72" s="3">
        <v>10</v>
      </c>
      <c r="K72" s="2">
        <v>216</v>
      </c>
      <c r="L72" s="2">
        <v>140</v>
      </c>
      <c r="M72" s="2">
        <v>76</v>
      </c>
      <c r="N72" s="14" t="s">
        <v>44</v>
      </c>
      <c r="O72" s="14">
        <v>2</v>
      </c>
      <c r="V72" s="2"/>
    </row>
    <row r="73" spans="1:22">
      <c r="A73">
        <v>10077</v>
      </c>
      <c r="B73" s="7" t="s">
        <v>197</v>
      </c>
      <c r="C73" s="14" t="s">
        <v>130</v>
      </c>
      <c r="D73" s="14" t="s">
        <v>45</v>
      </c>
      <c r="E73" s="14" t="s">
        <v>61</v>
      </c>
      <c r="F73" s="14" t="s">
        <v>52</v>
      </c>
      <c r="G73" s="14" t="s">
        <v>68</v>
      </c>
      <c r="H73" s="14">
        <v>7</v>
      </c>
      <c r="I73" s="2">
        <v>1830</v>
      </c>
      <c r="J73" s="3">
        <v>10</v>
      </c>
      <c r="K73" s="2">
        <v>11529</v>
      </c>
      <c r="L73" s="2">
        <v>7263</v>
      </c>
      <c r="M73" s="2">
        <v>4266</v>
      </c>
      <c r="N73" s="14" t="s">
        <v>47</v>
      </c>
      <c r="O73" s="14">
        <v>1</v>
      </c>
      <c r="V73" s="2"/>
    </row>
    <row r="74" spans="1:22">
      <c r="A74">
        <v>10078</v>
      </c>
      <c r="B74" s="7" t="s">
        <v>198</v>
      </c>
      <c r="C74" s="14" t="s">
        <v>116</v>
      </c>
      <c r="D74" s="14" t="s">
        <v>36</v>
      </c>
      <c r="E74" s="14" t="s">
        <v>58</v>
      </c>
      <c r="F74" s="14" t="s">
        <v>40</v>
      </c>
      <c r="G74" s="14" t="s">
        <v>64</v>
      </c>
      <c r="H74" s="14">
        <v>3</v>
      </c>
      <c r="I74" s="2">
        <v>500</v>
      </c>
      <c r="J74" s="3">
        <v>0</v>
      </c>
      <c r="K74" s="2">
        <v>1500</v>
      </c>
      <c r="L74" s="2">
        <v>1215</v>
      </c>
      <c r="M74" s="2">
        <v>285</v>
      </c>
      <c r="N74" s="14" t="s">
        <v>38</v>
      </c>
      <c r="O74" s="14">
        <v>5</v>
      </c>
      <c r="V74" s="2"/>
    </row>
    <row r="75" spans="1:22">
      <c r="A75">
        <v>10080</v>
      </c>
      <c r="B75" s="7" t="s">
        <v>199</v>
      </c>
      <c r="C75" s="14" t="s">
        <v>147</v>
      </c>
      <c r="D75" s="14" t="s">
        <v>45</v>
      </c>
      <c r="E75" s="14" t="s">
        <v>56</v>
      </c>
      <c r="F75" s="14" t="s">
        <v>57</v>
      </c>
      <c r="G75" s="14" t="s">
        <v>72</v>
      </c>
      <c r="H75" s="14">
        <v>1</v>
      </c>
      <c r="I75" s="2">
        <v>1660</v>
      </c>
      <c r="J75" s="3">
        <v>5</v>
      </c>
      <c r="K75" s="2">
        <v>1577</v>
      </c>
      <c r="L75" s="2">
        <v>1103</v>
      </c>
      <c r="M75" s="2">
        <v>474</v>
      </c>
      <c r="N75" s="14" t="s">
        <v>38</v>
      </c>
      <c r="O75" s="14">
        <v>4</v>
      </c>
      <c r="V75" s="2"/>
    </row>
    <row r="76" spans="1:22">
      <c r="A76">
        <v>10081</v>
      </c>
      <c r="B76" s="7" t="s">
        <v>200</v>
      </c>
      <c r="C76" s="14" t="s">
        <v>141</v>
      </c>
      <c r="D76" s="14" t="s">
        <v>42</v>
      </c>
      <c r="E76" s="14" t="s">
        <v>58</v>
      </c>
      <c r="F76" s="14" t="s">
        <v>37</v>
      </c>
      <c r="G76" s="14" t="s">
        <v>63</v>
      </c>
      <c r="H76" s="14">
        <v>6</v>
      </c>
      <c r="I76" s="2">
        <v>880</v>
      </c>
      <c r="J76" s="3">
        <v>15</v>
      </c>
      <c r="K76" s="2">
        <v>4488</v>
      </c>
      <c r="L76" s="2">
        <v>3500</v>
      </c>
      <c r="M76" s="2">
        <v>988</v>
      </c>
      <c r="N76" s="14" t="s">
        <v>41</v>
      </c>
      <c r="O76" s="14">
        <v>5</v>
      </c>
      <c r="V76" s="2"/>
    </row>
    <row r="77" spans="1:22">
      <c r="A77">
        <v>10082</v>
      </c>
      <c r="B77" s="7" t="s">
        <v>201</v>
      </c>
      <c r="C77" s="14" t="s">
        <v>111</v>
      </c>
      <c r="D77" s="14" t="s">
        <v>39</v>
      </c>
      <c r="E77" s="14" t="s">
        <v>56</v>
      </c>
      <c r="F77" s="14" t="s">
        <v>57</v>
      </c>
      <c r="G77" s="14" t="s">
        <v>64</v>
      </c>
      <c r="H77" s="14">
        <v>13</v>
      </c>
      <c r="I77" s="2">
        <v>370</v>
      </c>
      <c r="J77" s="3">
        <v>5</v>
      </c>
      <c r="K77" s="2">
        <v>4569.5</v>
      </c>
      <c r="L77" s="2">
        <v>2878</v>
      </c>
      <c r="M77" s="2">
        <v>1691.5</v>
      </c>
      <c r="N77" s="14" t="s">
        <v>38</v>
      </c>
      <c r="O77" s="14">
        <v>1</v>
      </c>
      <c r="V77" s="2"/>
    </row>
    <row r="78" spans="1:22">
      <c r="A78">
        <v>10083</v>
      </c>
      <c r="B78" s="7" t="s">
        <v>202</v>
      </c>
      <c r="C78" s="14" t="s">
        <v>116</v>
      </c>
      <c r="D78" s="14" t="s">
        <v>36</v>
      </c>
      <c r="E78" s="14" t="s">
        <v>58</v>
      </c>
      <c r="F78" s="14" t="s">
        <v>55</v>
      </c>
      <c r="G78" s="14" t="s">
        <v>64</v>
      </c>
      <c r="H78" s="14">
        <v>5</v>
      </c>
      <c r="I78" s="2">
        <v>1840</v>
      </c>
      <c r="J78" s="3">
        <v>20</v>
      </c>
      <c r="K78" s="2">
        <v>7360</v>
      </c>
      <c r="L78" s="2">
        <v>4636</v>
      </c>
      <c r="M78" s="2">
        <v>2724</v>
      </c>
      <c r="N78" s="14" t="s">
        <v>44</v>
      </c>
      <c r="O78" s="14">
        <v>2</v>
      </c>
      <c r="V78" s="2"/>
    </row>
    <row r="79" spans="1:22">
      <c r="A79">
        <v>10084</v>
      </c>
      <c r="B79" s="7" t="s">
        <v>203</v>
      </c>
      <c r="C79" s="14" t="s">
        <v>147</v>
      </c>
      <c r="D79" s="14" t="s">
        <v>39</v>
      </c>
      <c r="E79" s="14" t="s">
        <v>58</v>
      </c>
      <c r="F79" s="14" t="s">
        <v>43</v>
      </c>
      <c r="G79" s="14" t="s">
        <v>74</v>
      </c>
      <c r="H79" s="14">
        <v>15</v>
      </c>
      <c r="I79" s="2">
        <v>630</v>
      </c>
      <c r="J79" s="3">
        <v>0</v>
      </c>
      <c r="K79" s="2">
        <v>9450</v>
      </c>
      <c r="L79" s="2">
        <v>5575</v>
      </c>
      <c r="M79" s="2">
        <v>3875</v>
      </c>
      <c r="N79" s="14" t="s">
        <v>44</v>
      </c>
      <c r="O79" s="14">
        <v>1</v>
      </c>
      <c r="V79" s="2"/>
    </row>
    <row r="80" spans="1:22">
      <c r="A80">
        <v>10085</v>
      </c>
      <c r="B80" s="7" t="s">
        <v>204</v>
      </c>
      <c r="C80" s="14" t="s">
        <v>130</v>
      </c>
      <c r="D80" s="14" t="s">
        <v>39</v>
      </c>
      <c r="E80" s="14" t="s">
        <v>58</v>
      </c>
      <c r="F80" s="14" t="s">
        <v>43</v>
      </c>
      <c r="G80" s="14" t="s">
        <v>63</v>
      </c>
      <c r="H80" s="14">
        <v>3</v>
      </c>
      <c r="I80" s="2">
        <v>1600</v>
      </c>
      <c r="J80" s="3">
        <v>15</v>
      </c>
      <c r="K80" s="2">
        <v>4080</v>
      </c>
      <c r="L80" s="2">
        <v>3304</v>
      </c>
      <c r="M80" s="2">
        <v>776</v>
      </c>
      <c r="N80" s="14" t="s">
        <v>41</v>
      </c>
      <c r="O80" s="14">
        <v>4</v>
      </c>
      <c r="V80" s="2"/>
    </row>
    <row r="81" spans="1:22">
      <c r="A81">
        <v>10086</v>
      </c>
      <c r="B81" s="7" t="s">
        <v>205</v>
      </c>
      <c r="C81" s="14" t="s">
        <v>125</v>
      </c>
      <c r="D81" s="14" t="s">
        <v>42</v>
      </c>
      <c r="E81" s="14" t="s">
        <v>61</v>
      </c>
      <c r="F81" s="14" t="s">
        <v>117</v>
      </c>
      <c r="G81" s="14" t="s">
        <v>72</v>
      </c>
      <c r="H81" s="14">
        <v>10</v>
      </c>
      <c r="I81" s="2">
        <v>550</v>
      </c>
      <c r="J81" s="3">
        <v>10</v>
      </c>
      <c r="K81" s="2">
        <v>4950</v>
      </c>
      <c r="L81" s="2">
        <v>2871</v>
      </c>
      <c r="M81" s="2">
        <v>2079</v>
      </c>
      <c r="N81" s="14" t="s">
        <v>38</v>
      </c>
      <c r="O81" s="14">
        <v>5</v>
      </c>
      <c r="V81" s="2"/>
    </row>
    <row r="82" spans="1:22">
      <c r="A82">
        <v>10087</v>
      </c>
      <c r="B82" s="7" t="s">
        <v>156</v>
      </c>
      <c r="C82" s="14" t="s">
        <v>111</v>
      </c>
      <c r="D82" s="14" t="s">
        <v>42</v>
      </c>
      <c r="E82" s="14" t="s">
        <v>61</v>
      </c>
      <c r="F82" s="14" t="s">
        <v>51</v>
      </c>
      <c r="G82" s="14" t="s">
        <v>63</v>
      </c>
      <c r="H82" s="14">
        <v>15</v>
      </c>
      <c r="I82" s="2">
        <v>520</v>
      </c>
      <c r="J82" s="3">
        <v>10</v>
      </c>
      <c r="K82" s="2">
        <v>7020</v>
      </c>
      <c r="L82" s="2">
        <v>4141</v>
      </c>
      <c r="M82" s="2">
        <v>2879</v>
      </c>
      <c r="N82" s="14" t="s">
        <v>47</v>
      </c>
      <c r="O82" s="14">
        <v>4</v>
      </c>
      <c r="V82" s="2"/>
    </row>
    <row r="83" spans="1:22">
      <c r="A83">
        <v>10088</v>
      </c>
      <c r="B83" s="7" t="s">
        <v>206</v>
      </c>
      <c r="C83" s="14" t="s">
        <v>120</v>
      </c>
      <c r="D83" s="14" t="s">
        <v>36</v>
      </c>
      <c r="E83" s="14" t="s">
        <v>58</v>
      </c>
      <c r="F83" s="14" t="s">
        <v>55</v>
      </c>
      <c r="G83" s="14" t="s">
        <v>70</v>
      </c>
      <c r="H83" s="14">
        <v>3</v>
      </c>
      <c r="I83" s="2">
        <v>1690</v>
      </c>
      <c r="J83" s="3">
        <v>0</v>
      </c>
      <c r="K83" s="2">
        <v>5070</v>
      </c>
      <c r="L83" s="2">
        <v>3498</v>
      </c>
      <c r="M83" s="2">
        <v>1572</v>
      </c>
      <c r="N83" s="14" t="s">
        <v>47</v>
      </c>
      <c r="O83" s="14">
        <v>3</v>
      </c>
      <c r="V83" s="2"/>
    </row>
    <row r="84" spans="1:22">
      <c r="A84">
        <v>10089</v>
      </c>
      <c r="B84" s="7" t="s">
        <v>207</v>
      </c>
      <c r="C84" s="14" t="s">
        <v>147</v>
      </c>
      <c r="D84" s="14" t="s">
        <v>36</v>
      </c>
      <c r="E84" s="14" t="s">
        <v>58</v>
      </c>
      <c r="F84" s="14" t="s">
        <v>43</v>
      </c>
      <c r="G84" s="14" t="s">
        <v>64</v>
      </c>
      <c r="H84" s="14">
        <v>12</v>
      </c>
      <c r="I84" s="2">
        <v>570</v>
      </c>
      <c r="J84" s="3">
        <v>10</v>
      </c>
      <c r="K84" s="2">
        <v>6156</v>
      </c>
      <c r="L84" s="2">
        <v>4432</v>
      </c>
      <c r="M84" s="2">
        <v>1724</v>
      </c>
      <c r="N84" s="14" t="s">
        <v>44</v>
      </c>
      <c r="O84" s="14">
        <v>5</v>
      </c>
      <c r="V84" s="2"/>
    </row>
    <row r="85" spans="1:22">
      <c r="A85">
        <v>10090</v>
      </c>
      <c r="B85" s="7" t="s">
        <v>208</v>
      </c>
      <c r="C85" s="14" t="s">
        <v>116</v>
      </c>
      <c r="D85" s="14" t="s">
        <v>39</v>
      </c>
      <c r="E85" s="14" t="s">
        <v>61</v>
      </c>
      <c r="F85" s="14" t="s">
        <v>117</v>
      </c>
      <c r="G85" s="14" t="s">
        <v>66</v>
      </c>
      <c r="H85" s="14">
        <v>2</v>
      </c>
      <c r="I85" s="2">
        <v>1990</v>
      </c>
      <c r="J85" s="3">
        <v>15</v>
      </c>
      <c r="K85" s="2">
        <v>3383</v>
      </c>
      <c r="L85" s="2">
        <v>2131</v>
      </c>
      <c r="M85" s="2">
        <v>1252</v>
      </c>
      <c r="N85" s="14" t="s">
        <v>47</v>
      </c>
      <c r="O85" s="14">
        <v>2</v>
      </c>
      <c r="V85" s="2"/>
    </row>
    <row r="86" spans="1:22">
      <c r="A86">
        <v>10091</v>
      </c>
      <c r="B86" s="7" t="s">
        <v>209</v>
      </c>
      <c r="C86" s="14" t="s">
        <v>135</v>
      </c>
      <c r="D86" s="14" t="s">
        <v>45</v>
      </c>
      <c r="E86" s="14" t="s">
        <v>56</v>
      </c>
      <c r="F86" s="14" t="s">
        <v>57</v>
      </c>
      <c r="G86" s="14" t="s">
        <v>72</v>
      </c>
      <c r="H86" s="14">
        <v>4</v>
      </c>
      <c r="I86" s="2">
        <v>1750</v>
      </c>
      <c r="J86" s="3">
        <v>10</v>
      </c>
      <c r="K86" s="2">
        <v>6300</v>
      </c>
      <c r="L86" s="2">
        <v>3654</v>
      </c>
      <c r="M86" s="2">
        <v>2646</v>
      </c>
      <c r="N86" s="14" t="s">
        <v>44</v>
      </c>
      <c r="O86" s="14">
        <v>5</v>
      </c>
      <c r="V86" s="2"/>
    </row>
    <row r="87" spans="1:22">
      <c r="A87">
        <v>10092</v>
      </c>
      <c r="B87" s="7" t="s">
        <v>210</v>
      </c>
      <c r="C87" s="14" t="s">
        <v>120</v>
      </c>
      <c r="D87" s="14" t="s">
        <v>36</v>
      </c>
      <c r="E87" s="14" t="s">
        <v>56</v>
      </c>
      <c r="F87" s="14" t="s">
        <v>57</v>
      </c>
      <c r="G87" s="14" t="s">
        <v>64</v>
      </c>
      <c r="H87" s="14">
        <v>1</v>
      </c>
      <c r="I87" s="2">
        <v>770</v>
      </c>
      <c r="J87" s="3">
        <v>5</v>
      </c>
      <c r="K87" s="2">
        <v>731.5</v>
      </c>
      <c r="L87" s="2">
        <v>614</v>
      </c>
      <c r="M87" s="2">
        <v>117.5</v>
      </c>
      <c r="N87" s="14" t="s">
        <v>38</v>
      </c>
      <c r="O87" s="14">
        <v>5</v>
      </c>
      <c r="V87" s="2"/>
    </row>
    <row r="88" spans="1:22">
      <c r="A88">
        <v>10093</v>
      </c>
      <c r="B88" s="7" t="s">
        <v>211</v>
      </c>
      <c r="C88" s="14" t="s">
        <v>147</v>
      </c>
      <c r="D88" s="14" t="s">
        <v>42</v>
      </c>
      <c r="E88" s="14" t="s">
        <v>61</v>
      </c>
      <c r="F88" s="14" t="s">
        <v>117</v>
      </c>
      <c r="G88" s="14" t="s">
        <v>74</v>
      </c>
      <c r="H88" s="14">
        <v>13</v>
      </c>
      <c r="I88" s="2">
        <v>1240</v>
      </c>
      <c r="J88" s="3">
        <v>15</v>
      </c>
      <c r="K88" s="2">
        <v>13702</v>
      </c>
      <c r="L88" s="2">
        <v>9591</v>
      </c>
      <c r="M88" s="2">
        <v>4111</v>
      </c>
      <c r="N88" s="14" t="s">
        <v>41</v>
      </c>
      <c r="O88" s="14">
        <v>1</v>
      </c>
      <c r="V88" s="2"/>
    </row>
    <row r="89" spans="1:22">
      <c r="A89">
        <v>10094</v>
      </c>
      <c r="B89" s="7" t="s">
        <v>212</v>
      </c>
      <c r="C89" s="14" t="s">
        <v>120</v>
      </c>
      <c r="D89" s="14" t="s">
        <v>42</v>
      </c>
      <c r="E89" s="14" t="s">
        <v>56</v>
      </c>
      <c r="F89" s="14" t="s">
        <v>49</v>
      </c>
      <c r="G89" s="14" t="s">
        <v>68</v>
      </c>
      <c r="H89" s="14">
        <v>15</v>
      </c>
      <c r="I89" s="2">
        <v>1850</v>
      </c>
      <c r="J89" s="3">
        <v>0</v>
      </c>
      <c r="K89" s="2">
        <v>27750</v>
      </c>
      <c r="L89" s="2">
        <v>17760</v>
      </c>
      <c r="M89" s="2">
        <v>9990</v>
      </c>
      <c r="N89" s="14" t="s">
        <v>47</v>
      </c>
      <c r="O89" s="14">
        <v>2</v>
      </c>
      <c r="V89" s="2"/>
    </row>
    <row r="90" spans="1:22">
      <c r="A90">
        <v>10095</v>
      </c>
      <c r="B90" s="7" t="s">
        <v>213</v>
      </c>
      <c r="C90" s="14" t="s">
        <v>137</v>
      </c>
      <c r="D90" s="14" t="s">
        <v>39</v>
      </c>
      <c r="E90" s="14" t="s">
        <v>58</v>
      </c>
      <c r="F90" s="14" t="s">
        <v>37</v>
      </c>
      <c r="G90" s="14" t="s">
        <v>63</v>
      </c>
      <c r="H90" s="14">
        <v>13</v>
      </c>
      <c r="I90" s="2">
        <v>1180</v>
      </c>
      <c r="J90" s="3">
        <v>5</v>
      </c>
      <c r="K90" s="2">
        <v>14573</v>
      </c>
      <c r="L90" s="2">
        <v>8306</v>
      </c>
      <c r="M90" s="2">
        <v>6267</v>
      </c>
      <c r="N90" s="14" t="s">
        <v>41</v>
      </c>
      <c r="O90" s="14">
        <v>1</v>
      </c>
      <c r="V90" s="2"/>
    </row>
    <row r="91" spans="1:22">
      <c r="A91">
        <v>10096</v>
      </c>
      <c r="B91" s="7" t="s">
        <v>214</v>
      </c>
      <c r="C91" s="14" t="s">
        <v>147</v>
      </c>
      <c r="D91" s="14" t="s">
        <v>36</v>
      </c>
      <c r="E91" s="14" t="s">
        <v>56</v>
      </c>
      <c r="F91" s="14" t="s">
        <v>131</v>
      </c>
      <c r="G91" s="14" t="s">
        <v>64</v>
      </c>
      <c r="H91" s="14">
        <v>8</v>
      </c>
      <c r="I91" s="2">
        <v>1990</v>
      </c>
      <c r="J91" s="3">
        <v>5</v>
      </c>
      <c r="K91" s="2">
        <v>15124</v>
      </c>
      <c r="L91" s="2">
        <v>11343</v>
      </c>
      <c r="M91" s="2">
        <v>3781</v>
      </c>
      <c r="N91" s="14" t="s">
        <v>38</v>
      </c>
      <c r="O91" s="14">
        <v>3</v>
      </c>
      <c r="V91" s="2"/>
    </row>
    <row r="92" spans="1:22">
      <c r="A92">
        <v>10097</v>
      </c>
      <c r="B92" s="7" t="s">
        <v>215</v>
      </c>
      <c r="C92" s="14" t="s">
        <v>135</v>
      </c>
      <c r="D92" s="14" t="s">
        <v>45</v>
      </c>
      <c r="E92" s="14" t="s">
        <v>56</v>
      </c>
      <c r="F92" s="14" t="s">
        <v>57</v>
      </c>
      <c r="G92" s="14" t="s">
        <v>66</v>
      </c>
      <c r="H92" s="14">
        <v>13</v>
      </c>
      <c r="I92" s="2">
        <v>1520</v>
      </c>
      <c r="J92" s="3">
        <v>15</v>
      </c>
      <c r="K92" s="2">
        <v>16796</v>
      </c>
      <c r="L92" s="2">
        <v>12093</v>
      </c>
      <c r="M92" s="2">
        <v>4703</v>
      </c>
      <c r="N92" s="14" t="s">
        <v>38</v>
      </c>
      <c r="O92" s="14">
        <v>3</v>
      </c>
      <c r="V92" s="2"/>
    </row>
    <row r="93" spans="1:22">
      <c r="A93">
        <v>10098</v>
      </c>
      <c r="B93" s="7" t="s">
        <v>216</v>
      </c>
      <c r="C93" s="14" t="s">
        <v>116</v>
      </c>
      <c r="D93" s="14" t="s">
        <v>42</v>
      </c>
      <c r="E93" s="14" t="s">
        <v>61</v>
      </c>
      <c r="F93" s="14" t="s">
        <v>51</v>
      </c>
      <c r="G93" s="14" t="s">
        <v>64</v>
      </c>
      <c r="H93" s="14">
        <v>12</v>
      </c>
      <c r="I93" s="2">
        <v>440</v>
      </c>
      <c r="J93" s="3">
        <v>5</v>
      </c>
      <c r="K93" s="2">
        <v>5016</v>
      </c>
      <c r="L93" s="2">
        <v>3009</v>
      </c>
      <c r="M93" s="2">
        <v>2007</v>
      </c>
      <c r="N93" s="14" t="s">
        <v>47</v>
      </c>
      <c r="O93" s="14">
        <v>3</v>
      </c>
      <c r="V93" s="2"/>
    </row>
    <row r="94" spans="1:22">
      <c r="A94">
        <v>10099</v>
      </c>
      <c r="B94" s="7" t="s">
        <v>217</v>
      </c>
      <c r="C94" s="14" t="s">
        <v>128</v>
      </c>
      <c r="D94" s="14" t="s">
        <v>42</v>
      </c>
      <c r="E94" s="14" t="s">
        <v>61</v>
      </c>
      <c r="F94" s="14" t="s">
        <v>52</v>
      </c>
      <c r="G94" s="14" t="s">
        <v>68</v>
      </c>
      <c r="H94" s="14">
        <v>14</v>
      </c>
      <c r="I94" s="2">
        <v>220</v>
      </c>
      <c r="J94" s="3">
        <v>0</v>
      </c>
      <c r="K94" s="2">
        <v>3080</v>
      </c>
      <c r="L94" s="2">
        <v>2402</v>
      </c>
      <c r="M94" s="2">
        <v>678</v>
      </c>
      <c r="N94" s="14" t="s">
        <v>38</v>
      </c>
      <c r="O94" s="14">
        <v>5</v>
      </c>
      <c r="V94" s="2"/>
    </row>
    <row r="95" spans="1:22">
      <c r="A95">
        <v>10100</v>
      </c>
      <c r="B95" s="7" t="s">
        <v>218</v>
      </c>
      <c r="C95" s="14" t="s">
        <v>125</v>
      </c>
      <c r="D95" s="14" t="s">
        <v>36</v>
      </c>
      <c r="E95" s="14" t="s">
        <v>56</v>
      </c>
      <c r="F95" s="14" t="s">
        <v>131</v>
      </c>
      <c r="G95" s="14" t="s">
        <v>64</v>
      </c>
      <c r="H95" s="14">
        <v>8</v>
      </c>
      <c r="I95" s="2">
        <v>1990</v>
      </c>
      <c r="J95" s="3">
        <v>0</v>
      </c>
      <c r="K95" s="2">
        <v>15920</v>
      </c>
      <c r="L95" s="2">
        <v>11144</v>
      </c>
      <c r="M95" s="2">
        <v>4776</v>
      </c>
      <c r="N95" s="14" t="s">
        <v>38</v>
      </c>
      <c r="O95" s="14">
        <v>2</v>
      </c>
      <c r="V95" s="2"/>
    </row>
    <row r="96" spans="1:22">
      <c r="A96">
        <v>10101</v>
      </c>
      <c r="B96" s="7" t="s">
        <v>155</v>
      </c>
      <c r="C96" s="14" t="s">
        <v>111</v>
      </c>
      <c r="D96" s="14" t="s">
        <v>45</v>
      </c>
      <c r="E96" s="14" t="s">
        <v>61</v>
      </c>
      <c r="F96" s="14" t="s">
        <v>117</v>
      </c>
      <c r="G96" s="14" t="s">
        <v>72</v>
      </c>
      <c r="H96" s="14">
        <v>5</v>
      </c>
      <c r="I96" s="2">
        <v>920</v>
      </c>
      <c r="J96" s="3">
        <v>5</v>
      </c>
      <c r="K96" s="2">
        <v>4370</v>
      </c>
      <c r="L96" s="2">
        <v>3059</v>
      </c>
      <c r="M96" s="2">
        <v>1311</v>
      </c>
      <c r="N96" s="14" t="s">
        <v>47</v>
      </c>
      <c r="O96" s="14">
        <v>4</v>
      </c>
      <c r="V96" s="2"/>
    </row>
    <row r="97" spans="1:22">
      <c r="A97">
        <v>10102</v>
      </c>
      <c r="B97" s="7" t="s">
        <v>219</v>
      </c>
      <c r="C97" s="14" t="s">
        <v>147</v>
      </c>
      <c r="D97" s="14" t="s">
        <v>39</v>
      </c>
      <c r="E97" s="14" t="s">
        <v>58</v>
      </c>
      <c r="F97" s="14" t="s">
        <v>55</v>
      </c>
      <c r="G97" s="14" t="s">
        <v>70</v>
      </c>
      <c r="H97" s="14">
        <v>11</v>
      </c>
      <c r="I97" s="2">
        <v>1430</v>
      </c>
      <c r="J97" s="3">
        <v>5</v>
      </c>
      <c r="K97" s="2">
        <v>14943.5</v>
      </c>
      <c r="L97" s="2">
        <v>12403</v>
      </c>
      <c r="M97" s="2">
        <v>2540.5</v>
      </c>
      <c r="N97" s="14" t="s">
        <v>38</v>
      </c>
      <c r="O97" s="14">
        <v>1</v>
      </c>
      <c r="V97" s="2"/>
    </row>
    <row r="98" spans="1:22">
      <c r="A98">
        <v>10103</v>
      </c>
      <c r="B98" s="7" t="s">
        <v>220</v>
      </c>
      <c r="C98" s="14" t="s">
        <v>135</v>
      </c>
      <c r="D98" s="14" t="s">
        <v>39</v>
      </c>
      <c r="E98" s="14" t="s">
        <v>56</v>
      </c>
      <c r="F98" s="14" t="s">
        <v>50</v>
      </c>
      <c r="G98" s="14" t="s">
        <v>66</v>
      </c>
      <c r="H98" s="14">
        <v>6</v>
      </c>
      <c r="I98" s="2">
        <v>2000</v>
      </c>
      <c r="J98" s="3">
        <v>0</v>
      </c>
      <c r="K98" s="2">
        <v>12000</v>
      </c>
      <c r="L98" s="2">
        <v>6720</v>
      </c>
      <c r="M98" s="2">
        <v>5280</v>
      </c>
      <c r="N98" s="14" t="s">
        <v>38</v>
      </c>
      <c r="O98" s="14">
        <v>3</v>
      </c>
      <c r="V98" s="2"/>
    </row>
    <row r="99" spans="1:22">
      <c r="A99">
        <v>10104</v>
      </c>
      <c r="B99" s="7" t="s">
        <v>221</v>
      </c>
      <c r="C99" s="14" t="s">
        <v>128</v>
      </c>
      <c r="D99" s="14" t="s">
        <v>39</v>
      </c>
      <c r="E99" s="14" t="s">
        <v>56</v>
      </c>
      <c r="F99" s="14" t="s">
        <v>49</v>
      </c>
      <c r="G99" s="14" t="s">
        <v>72</v>
      </c>
      <c r="H99" s="14">
        <v>13</v>
      </c>
      <c r="I99" s="2">
        <v>2000</v>
      </c>
      <c r="J99" s="3">
        <v>10</v>
      </c>
      <c r="K99" s="2">
        <v>23400</v>
      </c>
      <c r="L99" s="2">
        <v>16380</v>
      </c>
      <c r="M99" s="2">
        <v>7020</v>
      </c>
      <c r="N99" s="14" t="s">
        <v>44</v>
      </c>
      <c r="O99" s="14">
        <v>1</v>
      </c>
      <c r="V99" s="2"/>
    </row>
    <row r="100" spans="1:22">
      <c r="A100">
        <v>10106</v>
      </c>
      <c r="B100" s="7" t="s">
        <v>153</v>
      </c>
      <c r="C100" s="14" t="s">
        <v>111</v>
      </c>
      <c r="D100" s="14" t="s">
        <v>45</v>
      </c>
      <c r="E100" s="14" t="s">
        <v>56</v>
      </c>
      <c r="F100" s="14" t="s">
        <v>131</v>
      </c>
      <c r="G100" s="14" t="s">
        <v>64</v>
      </c>
      <c r="H100" s="14">
        <v>15</v>
      </c>
      <c r="I100" s="2">
        <v>640</v>
      </c>
      <c r="J100" s="3">
        <v>5</v>
      </c>
      <c r="K100" s="2">
        <v>9120</v>
      </c>
      <c r="L100" s="2">
        <v>5107</v>
      </c>
      <c r="M100" s="2">
        <v>4013</v>
      </c>
      <c r="N100" s="14" t="s">
        <v>47</v>
      </c>
      <c r="O100" s="14">
        <v>1</v>
      </c>
      <c r="V100" s="2"/>
    </row>
    <row r="101" spans="1:22">
      <c r="A101">
        <v>10107</v>
      </c>
      <c r="B101" s="7" t="s">
        <v>222</v>
      </c>
      <c r="C101" s="14" t="s">
        <v>147</v>
      </c>
      <c r="D101" s="14" t="s">
        <v>45</v>
      </c>
      <c r="E101" s="14" t="s">
        <v>61</v>
      </c>
      <c r="F101" s="14" t="s">
        <v>143</v>
      </c>
      <c r="G101" s="14" t="s">
        <v>74</v>
      </c>
      <c r="H101" s="14">
        <v>12</v>
      </c>
      <c r="I101" s="2">
        <v>250</v>
      </c>
      <c r="J101" s="3">
        <v>10</v>
      </c>
      <c r="K101" s="2">
        <v>2700</v>
      </c>
      <c r="L101" s="2">
        <v>1917</v>
      </c>
      <c r="M101" s="2">
        <v>783</v>
      </c>
      <c r="N101" s="14" t="s">
        <v>47</v>
      </c>
      <c r="O101" s="14">
        <v>2</v>
      </c>
      <c r="V101" s="2"/>
    </row>
    <row r="102" spans="1:22">
      <c r="A102">
        <v>10108</v>
      </c>
      <c r="B102" s="7" t="s">
        <v>223</v>
      </c>
      <c r="C102" s="14" t="s">
        <v>128</v>
      </c>
      <c r="D102" s="14" t="s">
        <v>42</v>
      </c>
      <c r="E102" s="14" t="s">
        <v>61</v>
      </c>
      <c r="F102" s="14" t="s">
        <v>52</v>
      </c>
      <c r="G102" s="14" t="s">
        <v>72</v>
      </c>
      <c r="H102" s="14">
        <v>11</v>
      </c>
      <c r="I102" s="2">
        <v>1830</v>
      </c>
      <c r="J102" s="3">
        <v>0</v>
      </c>
      <c r="K102" s="2">
        <v>20130</v>
      </c>
      <c r="L102" s="2">
        <v>14091</v>
      </c>
      <c r="M102" s="2">
        <v>6039</v>
      </c>
      <c r="N102" s="14" t="s">
        <v>38</v>
      </c>
      <c r="O102" s="14">
        <v>3</v>
      </c>
      <c r="V102" s="2"/>
    </row>
    <row r="103" spans="1:22">
      <c r="A103">
        <v>10109</v>
      </c>
      <c r="B103" s="7" t="s">
        <v>224</v>
      </c>
      <c r="C103" s="14" t="s">
        <v>135</v>
      </c>
      <c r="D103" s="14" t="s">
        <v>36</v>
      </c>
      <c r="E103" s="14" t="s">
        <v>56</v>
      </c>
      <c r="F103" s="14" t="s">
        <v>150</v>
      </c>
      <c r="G103" s="14" t="s">
        <v>64</v>
      </c>
      <c r="H103" s="14">
        <v>13</v>
      </c>
      <c r="I103" s="2">
        <v>510</v>
      </c>
      <c r="J103" s="3">
        <v>15</v>
      </c>
      <c r="K103" s="2">
        <v>5635.5</v>
      </c>
      <c r="L103" s="2">
        <v>3663</v>
      </c>
      <c r="M103" s="2">
        <v>1972.5</v>
      </c>
      <c r="N103" s="14" t="s">
        <v>44</v>
      </c>
      <c r="O103" s="14">
        <v>2</v>
      </c>
      <c r="V103" s="2"/>
    </row>
    <row r="104" spans="1:22">
      <c r="A104">
        <v>10110</v>
      </c>
      <c r="B104" s="7" t="s">
        <v>225</v>
      </c>
      <c r="C104" s="14" t="s">
        <v>130</v>
      </c>
      <c r="D104" s="14" t="s">
        <v>42</v>
      </c>
      <c r="E104" s="14" t="s">
        <v>61</v>
      </c>
      <c r="F104" s="14" t="s">
        <v>46</v>
      </c>
      <c r="G104" s="14" t="s">
        <v>74</v>
      </c>
      <c r="H104" s="14">
        <v>14</v>
      </c>
      <c r="I104" s="2">
        <v>1160</v>
      </c>
      <c r="J104" s="3">
        <v>10</v>
      </c>
      <c r="K104" s="2">
        <v>14616</v>
      </c>
      <c r="L104" s="2">
        <v>8038</v>
      </c>
      <c r="M104" s="2">
        <v>6578</v>
      </c>
      <c r="N104" s="14" t="s">
        <v>41</v>
      </c>
      <c r="O104" s="14">
        <v>4</v>
      </c>
      <c r="V104" s="2"/>
    </row>
    <row r="105" spans="1:22">
      <c r="A105">
        <v>10111</v>
      </c>
      <c r="B105" s="7" t="s">
        <v>226</v>
      </c>
      <c r="C105" s="14" t="s">
        <v>111</v>
      </c>
      <c r="D105" s="14" t="s">
        <v>39</v>
      </c>
      <c r="E105" s="14" t="s">
        <v>58</v>
      </c>
      <c r="F105" s="14" t="s">
        <v>40</v>
      </c>
      <c r="G105" s="14" t="s">
        <v>70</v>
      </c>
      <c r="H105" s="14">
        <v>12</v>
      </c>
      <c r="I105" s="2">
        <v>1360</v>
      </c>
      <c r="J105" s="3">
        <v>0</v>
      </c>
      <c r="K105" s="2">
        <v>16320</v>
      </c>
      <c r="L105" s="2">
        <v>13219</v>
      </c>
      <c r="M105" s="2">
        <v>3101</v>
      </c>
      <c r="N105" s="14" t="s">
        <v>44</v>
      </c>
      <c r="O105" s="14">
        <v>5</v>
      </c>
      <c r="V105" s="2"/>
    </row>
    <row r="106" spans="1:22">
      <c r="A106">
        <v>10112</v>
      </c>
      <c r="B106" s="7" t="s">
        <v>227</v>
      </c>
      <c r="C106" s="14" t="s">
        <v>137</v>
      </c>
      <c r="D106" s="14" t="s">
        <v>36</v>
      </c>
      <c r="E106" s="14" t="s">
        <v>56</v>
      </c>
      <c r="F106" s="14" t="s">
        <v>131</v>
      </c>
      <c r="G106" s="14" t="s">
        <v>74</v>
      </c>
      <c r="H106" s="14">
        <v>3</v>
      </c>
      <c r="I106" s="2">
        <v>490</v>
      </c>
      <c r="J106" s="3">
        <v>20</v>
      </c>
      <c r="K106" s="2">
        <v>1176</v>
      </c>
      <c r="L106" s="2">
        <v>858</v>
      </c>
      <c r="M106" s="2">
        <v>318</v>
      </c>
      <c r="N106" s="14" t="s">
        <v>38</v>
      </c>
      <c r="O106" s="14">
        <v>4</v>
      </c>
      <c r="V106" s="2"/>
    </row>
    <row r="107" spans="1:22">
      <c r="A107">
        <v>10114</v>
      </c>
      <c r="B107" s="7" t="s">
        <v>228</v>
      </c>
      <c r="C107" s="14" t="s">
        <v>116</v>
      </c>
      <c r="D107" s="14" t="s">
        <v>39</v>
      </c>
      <c r="E107" s="14" t="s">
        <v>61</v>
      </c>
      <c r="F107" s="14" t="s">
        <v>52</v>
      </c>
      <c r="G107" s="14" t="s">
        <v>72</v>
      </c>
      <c r="H107" s="14">
        <v>12</v>
      </c>
      <c r="I107" s="2">
        <v>410</v>
      </c>
      <c r="J107" s="3">
        <v>5</v>
      </c>
      <c r="K107" s="2">
        <v>4674</v>
      </c>
      <c r="L107" s="2">
        <v>3879</v>
      </c>
      <c r="M107" s="2">
        <v>795</v>
      </c>
      <c r="N107" s="14" t="s">
        <v>41</v>
      </c>
      <c r="O107" s="14">
        <v>3</v>
      </c>
      <c r="V107" s="2"/>
    </row>
    <row r="108" spans="1:22">
      <c r="A108">
        <v>10115</v>
      </c>
      <c r="B108" s="7" t="s">
        <v>229</v>
      </c>
      <c r="C108" s="14" t="s">
        <v>130</v>
      </c>
      <c r="D108" s="14" t="s">
        <v>36</v>
      </c>
      <c r="E108" s="14" t="s">
        <v>61</v>
      </c>
      <c r="F108" s="14" t="s">
        <v>52</v>
      </c>
      <c r="G108" s="14" t="s">
        <v>74</v>
      </c>
      <c r="H108" s="14">
        <v>8</v>
      </c>
      <c r="I108" s="2">
        <v>1420</v>
      </c>
      <c r="J108" s="3">
        <v>0</v>
      </c>
      <c r="K108" s="2">
        <v>11360</v>
      </c>
      <c r="L108" s="2">
        <v>8974</v>
      </c>
      <c r="M108" s="2">
        <v>2386</v>
      </c>
      <c r="N108" s="14" t="s">
        <v>44</v>
      </c>
      <c r="O108" s="14">
        <v>4</v>
      </c>
      <c r="V108" s="2"/>
    </row>
    <row r="109" spans="1:22">
      <c r="A109">
        <v>10116</v>
      </c>
      <c r="B109" s="7" t="s">
        <v>230</v>
      </c>
      <c r="C109" s="14" t="s">
        <v>130</v>
      </c>
      <c r="D109" s="14" t="s">
        <v>39</v>
      </c>
      <c r="E109" s="14" t="s">
        <v>61</v>
      </c>
      <c r="F109" s="14" t="s">
        <v>117</v>
      </c>
      <c r="G109" s="14" t="s">
        <v>72</v>
      </c>
      <c r="H109" s="14">
        <v>1</v>
      </c>
      <c r="I109" s="2">
        <v>840</v>
      </c>
      <c r="J109" s="3">
        <v>5</v>
      </c>
      <c r="K109" s="2">
        <v>798</v>
      </c>
      <c r="L109" s="2">
        <v>566</v>
      </c>
      <c r="M109" s="2">
        <v>232</v>
      </c>
      <c r="N109" s="14" t="s">
        <v>38</v>
      </c>
      <c r="O109" s="14">
        <v>5</v>
      </c>
      <c r="V109" s="2"/>
    </row>
    <row r="110" spans="1:22">
      <c r="A110">
        <v>10117</v>
      </c>
      <c r="B110" s="7" t="s">
        <v>231</v>
      </c>
      <c r="C110" s="14" t="s">
        <v>130</v>
      </c>
      <c r="D110" s="14" t="s">
        <v>39</v>
      </c>
      <c r="E110" s="14" t="s">
        <v>56</v>
      </c>
      <c r="F110" s="14" t="s">
        <v>57</v>
      </c>
      <c r="G110" s="14" t="s">
        <v>63</v>
      </c>
      <c r="H110" s="14">
        <v>12</v>
      </c>
      <c r="I110" s="2">
        <v>360</v>
      </c>
      <c r="J110" s="3">
        <v>0</v>
      </c>
      <c r="K110" s="2">
        <v>4320</v>
      </c>
      <c r="L110" s="2">
        <v>2764</v>
      </c>
      <c r="M110" s="2">
        <v>1556</v>
      </c>
      <c r="N110" s="14" t="s">
        <v>41</v>
      </c>
      <c r="O110" s="14">
        <v>4</v>
      </c>
      <c r="V110" s="2"/>
    </row>
    <row r="111" spans="1:22">
      <c r="A111">
        <v>10118</v>
      </c>
      <c r="B111" s="7" t="s">
        <v>153</v>
      </c>
      <c r="C111" s="14" t="s">
        <v>130</v>
      </c>
      <c r="D111" s="14" t="s">
        <v>45</v>
      </c>
      <c r="E111" s="14" t="s">
        <v>61</v>
      </c>
      <c r="F111" s="14" t="s">
        <v>52</v>
      </c>
      <c r="G111" s="14" t="s">
        <v>68</v>
      </c>
      <c r="H111" s="14">
        <v>6</v>
      </c>
      <c r="I111" s="2">
        <v>1490</v>
      </c>
      <c r="J111" s="3">
        <v>20</v>
      </c>
      <c r="K111" s="2">
        <v>7152</v>
      </c>
      <c r="L111" s="2">
        <v>5578</v>
      </c>
      <c r="M111" s="2">
        <v>1574</v>
      </c>
      <c r="N111" s="14" t="s">
        <v>47</v>
      </c>
      <c r="O111" s="14">
        <v>3</v>
      </c>
      <c r="V111" s="2"/>
    </row>
    <row r="112" spans="1:22">
      <c r="A112">
        <v>10119</v>
      </c>
      <c r="B112" s="7" t="s">
        <v>232</v>
      </c>
      <c r="C112" s="14" t="s">
        <v>137</v>
      </c>
      <c r="D112" s="14" t="s">
        <v>39</v>
      </c>
      <c r="E112" s="14" t="s">
        <v>61</v>
      </c>
      <c r="F112" s="14" t="s">
        <v>52</v>
      </c>
      <c r="G112" s="14" t="s">
        <v>70</v>
      </c>
      <c r="H112" s="14">
        <v>5</v>
      </c>
      <c r="I112" s="2">
        <v>1960</v>
      </c>
      <c r="J112" s="3">
        <v>20</v>
      </c>
      <c r="K112" s="2">
        <v>7840</v>
      </c>
      <c r="L112" s="2">
        <v>5880</v>
      </c>
      <c r="M112" s="2">
        <v>1960</v>
      </c>
      <c r="N112" s="14" t="s">
        <v>47</v>
      </c>
      <c r="O112" s="14">
        <v>4</v>
      </c>
      <c r="V112" s="2"/>
    </row>
    <row r="113" spans="1:22">
      <c r="A113">
        <v>10120</v>
      </c>
      <c r="B113" s="7" t="s">
        <v>233</v>
      </c>
      <c r="C113" s="14" t="s">
        <v>116</v>
      </c>
      <c r="D113" s="14" t="s">
        <v>36</v>
      </c>
      <c r="E113" s="14" t="s">
        <v>56</v>
      </c>
      <c r="F113" s="14" t="s">
        <v>49</v>
      </c>
      <c r="G113" s="14" t="s">
        <v>70</v>
      </c>
      <c r="H113" s="14">
        <v>14</v>
      </c>
      <c r="I113" s="2">
        <v>1170</v>
      </c>
      <c r="J113" s="3">
        <v>15</v>
      </c>
      <c r="K113" s="2">
        <v>13923</v>
      </c>
      <c r="L113" s="2">
        <v>9467</v>
      </c>
      <c r="M113" s="2">
        <v>4456</v>
      </c>
      <c r="N113" s="14" t="s">
        <v>47</v>
      </c>
      <c r="O113" s="14">
        <v>2</v>
      </c>
      <c r="V113" s="2"/>
    </row>
    <row r="114" spans="1:22">
      <c r="A114">
        <v>10121</v>
      </c>
      <c r="B114" s="7" t="s">
        <v>113</v>
      </c>
      <c r="C114" s="14" t="s">
        <v>137</v>
      </c>
      <c r="D114" s="14" t="s">
        <v>45</v>
      </c>
      <c r="E114" s="14" t="s">
        <v>61</v>
      </c>
      <c r="F114" s="14" t="s">
        <v>143</v>
      </c>
      <c r="G114" s="14" t="s">
        <v>63</v>
      </c>
      <c r="H114" s="14">
        <v>11</v>
      </c>
      <c r="I114" s="2">
        <v>1820</v>
      </c>
      <c r="J114" s="3">
        <v>10</v>
      </c>
      <c r="K114" s="2">
        <v>18018</v>
      </c>
      <c r="L114" s="2">
        <v>14054</v>
      </c>
      <c r="M114" s="2">
        <v>3964</v>
      </c>
      <c r="N114" s="14" t="s">
        <v>47</v>
      </c>
      <c r="O114" s="14">
        <v>1</v>
      </c>
      <c r="V114" s="2"/>
    </row>
    <row r="115" spans="1:22">
      <c r="A115">
        <v>10122</v>
      </c>
      <c r="B115" s="7" t="s">
        <v>234</v>
      </c>
      <c r="C115" s="14" t="s">
        <v>120</v>
      </c>
      <c r="D115" s="14" t="s">
        <v>42</v>
      </c>
      <c r="E115" s="14" t="s">
        <v>61</v>
      </c>
      <c r="F115" s="14" t="s">
        <v>52</v>
      </c>
      <c r="G115" s="14" t="s">
        <v>66</v>
      </c>
      <c r="H115" s="14">
        <v>10</v>
      </c>
      <c r="I115" s="2">
        <v>970</v>
      </c>
      <c r="J115" s="3">
        <v>5</v>
      </c>
      <c r="K115" s="2">
        <v>9215</v>
      </c>
      <c r="L115" s="2">
        <v>5713</v>
      </c>
      <c r="M115" s="2">
        <v>3502</v>
      </c>
      <c r="N115" s="14" t="s">
        <v>44</v>
      </c>
      <c r="O115" s="14">
        <v>2</v>
      </c>
      <c r="V115" s="2"/>
    </row>
    <row r="116" spans="1:22">
      <c r="A116">
        <v>10123</v>
      </c>
      <c r="B116" s="7" t="s">
        <v>235</v>
      </c>
      <c r="C116" s="14" t="s">
        <v>135</v>
      </c>
      <c r="D116" s="14" t="s">
        <v>45</v>
      </c>
      <c r="E116" s="14" t="s">
        <v>61</v>
      </c>
      <c r="F116" s="14" t="s">
        <v>117</v>
      </c>
      <c r="G116" s="14" t="s">
        <v>64</v>
      </c>
      <c r="H116" s="14">
        <v>4</v>
      </c>
      <c r="I116" s="2">
        <v>1410</v>
      </c>
      <c r="J116" s="3">
        <v>15</v>
      </c>
      <c r="K116" s="2">
        <v>4794</v>
      </c>
      <c r="L116" s="2">
        <v>3835</v>
      </c>
      <c r="M116" s="2">
        <v>959</v>
      </c>
      <c r="N116" s="14" t="s">
        <v>47</v>
      </c>
      <c r="O116" s="14">
        <v>5</v>
      </c>
      <c r="V116" s="2"/>
    </row>
    <row r="117" spans="1:22">
      <c r="A117">
        <v>10124</v>
      </c>
      <c r="B117" s="7" t="s">
        <v>236</v>
      </c>
      <c r="C117" s="14" t="s">
        <v>125</v>
      </c>
      <c r="D117" s="14" t="s">
        <v>42</v>
      </c>
      <c r="E117" s="14" t="s">
        <v>61</v>
      </c>
      <c r="F117" s="14" t="s">
        <v>52</v>
      </c>
      <c r="G117" s="14" t="s">
        <v>63</v>
      </c>
      <c r="H117" s="14">
        <v>12</v>
      </c>
      <c r="I117" s="2">
        <v>560</v>
      </c>
      <c r="J117" s="3">
        <v>0</v>
      </c>
      <c r="K117" s="2">
        <v>6720</v>
      </c>
      <c r="L117" s="2">
        <v>4233</v>
      </c>
      <c r="M117" s="2">
        <v>2487</v>
      </c>
      <c r="N117" s="14" t="s">
        <v>47</v>
      </c>
      <c r="O117" s="14">
        <v>4</v>
      </c>
      <c r="V117" s="2"/>
    </row>
    <row r="118" spans="1:22">
      <c r="A118">
        <v>10125</v>
      </c>
      <c r="B118" s="7" t="s">
        <v>186</v>
      </c>
      <c r="C118" s="14" t="s">
        <v>116</v>
      </c>
      <c r="D118" s="14" t="s">
        <v>45</v>
      </c>
      <c r="E118" s="14" t="s">
        <v>58</v>
      </c>
      <c r="F118" s="14" t="s">
        <v>37</v>
      </c>
      <c r="G118" s="14" t="s">
        <v>64</v>
      </c>
      <c r="H118" s="14">
        <v>14</v>
      </c>
      <c r="I118" s="2">
        <v>1360</v>
      </c>
      <c r="J118" s="3">
        <v>5</v>
      </c>
      <c r="K118" s="2">
        <v>18088</v>
      </c>
      <c r="L118" s="2">
        <v>14108</v>
      </c>
      <c r="M118" s="2">
        <v>3980</v>
      </c>
      <c r="N118" s="14" t="s">
        <v>44</v>
      </c>
      <c r="O118" s="14">
        <v>3</v>
      </c>
      <c r="V118" s="2"/>
    </row>
    <row r="119" spans="1:22">
      <c r="A119">
        <v>10126</v>
      </c>
      <c r="B119" s="7" t="s">
        <v>237</v>
      </c>
      <c r="C119" s="14" t="s">
        <v>120</v>
      </c>
      <c r="D119" s="14" t="s">
        <v>39</v>
      </c>
      <c r="E119" s="14" t="s">
        <v>58</v>
      </c>
      <c r="F119" s="14" t="s">
        <v>40</v>
      </c>
      <c r="G119" s="14" t="s">
        <v>68</v>
      </c>
      <c r="H119" s="14">
        <v>2</v>
      </c>
      <c r="I119" s="2">
        <v>1250</v>
      </c>
      <c r="J119" s="3">
        <v>5</v>
      </c>
      <c r="K119" s="2">
        <v>2375</v>
      </c>
      <c r="L119" s="2">
        <v>1377</v>
      </c>
      <c r="M119" s="2">
        <v>998</v>
      </c>
      <c r="N119" s="14" t="s">
        <v>38</v>
      </c>
      <c r="O119" s="14">
        <v>4</v>
      </c>
      <c r="V119" s="2"/>
    </row>
    <row r="120" spans="1:22">
      <c r="A120">
        <v>10127</v>
      </c>
      <c r="B120" s="7" t="s">
        <v>238</v>
      </c>
      <c r="C120" s="14" t="s">
        <v>135</v>
      </c>
      <c r="D120" s="14" t="s">
        <v>39</v>
      </c>
      <c r="E120" s="14" t="s">
        <v>61</v>
      </c>
      <c r="F120" s="14" t="s">
        <v>51</v>
      </c>
      <c r="G120" s="14" t="s">
        <v>63</v>
      </c>
      <c r="H120" s="14">
        <v>6</v>
      </c>
      <c r="I120" s="2">
        <v>1920</v>
      </c>
      <c r="J120" s="3">
        <v>15</v>
      </c>
      <c r="K120" s="2">
        <v>9792</v>
      </c>
      <c r="L120" s="2">
        <v>7539</v>
      </c>
      <c r="M120" s="2">
        <v>2253</v>
      </c>
      <c r="N120" s="14" t="s">
        <v>47</v>
      </c>
      <c r="O120" s="14">
        <v>5</v>
      </c>
      <c r="V120" s="2"/>
    </row>
    <row r="121" spans="1:22">
      <c r="A121">
        <v>10128</v>
      </c>
      <c r="B121" s="7" t="s">
        <v>239</v>
      </c>
      <c r="C121" s="14" t="s">
        <v>135</v>
      </c>
      <c r="D121" s="14" t="s">
        <v>36</v>
      </c>
      <c r="E121" s="14" t="s">
        <v>61</v>
      </c>
      <c r="F121" s="14" t="s">
        <v>51</v>
      </c>
      <c r="G121" s="14" t="s">
        <v>63</v>
      </c>
      <c r="H121" s="14">
        <v>12</v>
      </c>
      <c r="I121" s="2">
        <v>440</v>
      </c>
      <c r="J121" s="3">
        <v>0</v>
      </c>
      <c r="K121" s="2">
        <v>5280</v>
      </c>
      <c r="L121" s="2">
        <v>3273</v>
      </c>
      <c r="M121" s="2">
        <v>2007</v>
      </c>
      <c r="N121" s="14" t="s">
        <v>38</v>
      </c>
      <c r="O121" s="14">
        <v>5</v>
      </c>
      <c r="V121" s="2"/>
    </row>
    <row r="122" spans="1:22">
      <c r="A122">
        <v>10129</v>
      </c>
      <c r="B122" s="7" t="s">
        <v>240</v>
      </c>
      <c r="C122" s="14" t="s">
        <v>135</v>
      </c>
      <c r="D122" s="14" t="s">
        <v>36</v>
      </c>
      <c r="E122" s="14" t="s">
        <v>56</v>
      </c>
      <c r="F122" s="14" t="s">
        <v>49</v>
      </c>
      <c r="G122" s="14" t="s">
        <v>66</v>
      </c>
      <c r="H122" s="14">
        <v>5</v>
      </c>
      <c r="I122" s="2">
        <v>1870</v>
      </c>
      <c r="J122" s="3">
        <v>0</v>
      </c>
      <c r="K122" s="2">
        <v>9350</v>
      </c>
      <c r="L122" s="2">
        <v>7760</v>
      </c>
      <c r="M122" s="2">
        <v>1590</v>
      </c>
      <c r="N122" s="14" t="s">
        <v>47</v>
      </c>
      <c r="O122" s="14">
        <v>3</v>
      </c>
      <c r="V122" s="2"/>
    </row>
    <row r="123" spans="1:22">
      <c r="A123">
        <v>10130</v>
      </c>
      <c r="B123" s="7" t="s">
        <v>241</v>
      </c>
      <c r="C123" s="14" t="s">
        <v>120</v>
      </c>
      <c r="D123" s="14" t="s">
        <v>42</v>
      </c>
      <c r="E123" s="14" t="s">
        <v>58</v>
      </c>
      <c r="F123" s="14" t="s">
        <v>55</v>
      </c>
      <c r="G123" s="14" t="s">
        <v>72</v>
      </c>
      <c r="H123" s="14">
        <v>14</v>
      </c>
      <c r="I123" s="2">
        <v>1640</v>
      </c>
      <c r="J123" s="3">
        <v>0</v>
      </c>
      <c r="K123" s="2">
        <v>22960</v>
      </c>
      <c r="L123" s="2">
        <v>17908</v>
      </c>
      <c r="M123" s="2">
        <v>5052</v>
      </c>
      <c r="N123" s="14" t="s">
        <v>47</v>
      </c>
      <c r="O123" s="14">
        <v>3</v>
      </c>
      <c r="V123" s="2"/>
    </row>
    <row r="124" spans="1:22">
      <c r="A124">
        <v>10131</v>
      </c>
      <c r="B124" s="7" t="s">
        <v>242</v>
      </c>
      <c r="C124" s="14" t="s">
        <v>147</v>
      </c>
      <c r="D124" s="14" t="s">
        <v>36</v>
      </c>
      <c r="E124" s="14" t="s">
        <v>58</v>
      </c>
      <c r="F124" s="14" t="s">
        <v>43</v>
      </c>
      <c r="G124" s="14" t="s">
        <v>68</v>
      </c>
      <c r="H124" s="14">
        <v>1</v>
      </c>
      <c r="I124" s="2">
        <v>1190</v>
      </c>
      <c r="J124" s="3">
        <v>20</v>
      </c>
      <c r="K124" s="2">
        <v>952</v>
      </c>
      <c r="L124" s="2">
        <v>685</v>
      </c>
      <c r="M124" s="2">
        <v>267</v>
      </c>
      <c r="N124" s="14" t="s">
        <v>41</v>
      </c>
      <c r="O124" s="14">
        <v>4</v>
      </c>
      <c r="V124" s="2"/>
    </row>
    <row r="125" spans="1:22">
      <c r="A125">
        <v>10132</v>
      </c>
      <c r="B125" s="7" t="s">
        <v>210</v>
      </c>
      <c r="C125" s="14" t="s">
        <v>125</v>
      </c>
      <c r="D125" s="14" t="s">
        <v>39</v>
      </c>
      <c r="E125" s="14" t="s">
        <v>56</v>
      </c>
      <c r="F125" s="14" t="s">
        <v>57</v>
      </c>
      <c r="G125" s="14" t="s">
        <v>63</v>
      </c>
      <c r="H125" s="14">
        <v>12</v>
      </c>
      <c r="I125" s="2">
        <v>210</v>
      </c>
      <c r="J125" s="3">
        <v>5</v>
      </c>
      <c r="K125" s="2">
        <v>2394</v>
      </c>
      <c r="L125" s="2">
        <v>1987</v>
      </c>
      <c r="M125" s="2">
        <v>407</v>
      </c>
      <c r="N125" s="14" t="s">
        <v>47</v>
      </c>
      <c r="O125" s="14">
        <v>2</v>
      </c>
      <c r="V125" s="2"/>
    </row>
    <row r="126" spans="1:22">
      <c r="A126">
        <v>10133</v>
      </c>
      <c r="B126" s="7" t="s">
        <v>243</v>
      </c>
      <c r="C126" s="14" t="s">
        <v>135</v>
      </c>
      <c r="D126" s="14" t="s">
        <v>39</v>
      </c>
      <c r="E126" s="14" t="s">
        <v>56</v>
      </c>
      <c r="F126" s="14" t="s">
        <v>131</v>
      </c>
      <c r="G126" s="14" t="s">
        <v>68</v>
      </c>
      <c r="H126" s="14">
        <v>8</v>
      </c>
      <c r="I126" s="2">
        <v>1100</v>
      </c>
      <c r="J126" s="3">
        <v>0</v>
      </c>
      <c r="K126" s="2">
        <v>8800</v>
      </c>
      <c r="L126" s="2">
        <v>4840</v>
      </c>
      <c r="M126" s="2">
        <v>3960</v>
      </c>
      <c r="N126" s="14" t="s">
        <v>47</v>
      </c>
      <c r="O126" s="14">
        <v>1</v>
      </c>
      <c r="V126" s="2"/>
    </row>
    <row r="127" spans="1:22">
      <c r="A127">
        <v>10134</v>
      </c>
      <c r="B127" s="7" t="s">
        <v>215</v>
      </c>
      <c r="C127" s="14" t="s">
        <v>130</v>
      </c>
      <c r="D127" s="14" t="s">
        <v>39</v>
      </c>
      <c r="E127" s="14" t="s">
        <v>56</v>
      </c>
      <c r="F127" s="14" t="s">
        <v>150</v>
      </c>
      <c r="G127" s="14" t="s">
        <v>72</v>
      </c>
      <c r="H127" s="14">
        <v>3</v>
      </c>
      <c r="I127" s="2">
        <v>620</v>
      </c>
      <c r="J127" s="3">
        <v>15</v>
      </c>
      <c r="K127" s="2">
        <v>1581</v>
      </c>
      <c r="L127" s="2">
        <v>996</v>
      </c>
      <c r="M127" s="2">
        <v>585</v>
      </c>
      <c r="N127" s="14" t="s">
        <v>47</v>
      </c>
      <c r="O127" s="14">
        <v>2</v>
      </c>
      <c r="V127" s="2"/>
    </row>
    <row r="128" spans="1:22">
      <c r="A128">
        <v>10135</v>
      </c>
      <c r="B128" s="7" t="s">
        <v>244</v>
      </c>
      <c r="C128" s="14" t="s">
        <v>120</v>
      </c>
      <c r="D128" s="14" t="s">
        <v>36</v>
      </c>
      <c r="E128" s="14" t="s">
        <v>56</v>
      </c>
      <c r="F128" s="14" t="s">
        <v>49</v>
      </c>
      <c r="G128" s="14" t="s">
        <v>64</v>
      </c>
      <c r="H128" s="14">
        <v>2</v>
      </c>
      <c r="I128" s="2">
        <v>1610</v>
      </c>
      <c r="J128" s="3">
        <v>20</v>
      </c>
      <c r="K128" s="2">
        <v>2576</v>
      </c>
      <c r="L128" s="2">
        <v>1494</v>
      </c>
      <c r="M128" s="2">
        <v>1082</v>
      </c>
      <c r="N128" s="14" t="s">
        <v>41</v>
      </c>
      <c r="O128" s="14">
        <v>1</v>
      </c>
      <c r="V128" s="2"/>
    </row>
    <row r="129" spans="1:22">
      <c r="A129">
        <v>10136</v>
      </c>
      <c r="B129" s="7" t="s">
        <v>245</v>
      </c>
      <c r="C129" s="14" t="s">
        <v>128</v>
      </c>
      <c r="D129" s="14" t="s">
        <v>36</v>
      </c>
      <c r="E129" s="14" t="s">
        <v>56</v>
      </c>
      <c r="F129" s="14" t="s">
        <v>49</v>
      </c>
      <c r="G129" s="14" t="s">
        <v>63</v>
      </c>
      <c r="H129" s="14">
        <v>4</v>
      </c>
      <c r="I129" s="2">
        <v>480</v>
      </c>
      <c r="J129" s="3">
        <v>5</v>
      </c>
      <c r="K129" s="2">
        <v>1824</v>
      </c>
      <c r="L129" s="2">
        <v>1459</v>
      </c>
      <c r="M129" s="2">
        <v>365</v>
      </c>
      <c r="N129" s="14" t="s">
        <v>44</v>
      </c>
      <c r="O129" s="14">
        <v>3</v>
      </c>
      <c r="V129" s="2"/>
    </row>
    <row r="130" spans="1:22">
      <c r="A130">
        <v>10137</v>
      </c>
      <c r="B130" s="7" t="s">
        <v>246</v>
      </c>
      <c r="C130" s="14" t="s">
        <v>128</v>
      </c>
      <c r="D130" s="14" t="s">
        <v>42</v>
      </c>
      <c r="E130" s="14" t="s">
        <v>56</v>
      </c>
      <c r="F130" s="14" t="s">
        <v>49</v>
      </c>
      <c r="G130" s="14" t="s">
        <v>70</v>
      </c>
      <c r="H130" s="14">
        <v>2</v>
      </c>
      <c r="I130" s="2">
        <v>400</v>
      </c>
      <c r="J130" s="3">
        <v>0</v>
      </c>
      <c r="K130" s="2">
        <v>800</v>
      </c>
      <c r="L130" s="2">
        <v>616</v>
      </c>
      <c r="M130" s="2">
        <v>184</v>
      </c>
      <c r="N130" s="14" t="s">
        <v>44</v>
      </c>
      <c r="O130" s="14">
        <v>4</v>
      </c>
      <c r="V130" s="2"/>
    </row>
    <row r="131" spans="1:22">
      <c r="A131">
        <v>10138</v>
      </c>
      <c r="B131" s="7" t="s">
        <v>247</v>
      </c>
      <c r="C131" s="14" t="s">
        <v>111</v>
      </c>
      <c r="D131" s="14" t="s">
        <v>36</v>
      </c>
      <c r="E131" s="14" t="s">
        <v>61</v>
      </c>
      <c r="F131" s="14" t="s">
        <v>52</v>
      </c>
      <c r="G131" s="14" t="s">
        <v>72</v>
      </c>
      <c r="H131" s="14">
        <v>13</v>
      </c>
      <c r="I131" s="2">
        <v>1000</v>
      </c>
      <c r="J131" s="3">
        <v>10</v>
      </c>
      <c r="K131" s="2">
        <v>11700</v>
      </c>
      <c r="L131" s="2">
        <v>7137</v>
      </c>
      <c r="M131" s="2">
        <v>4563</v>
      </c>
      <c r="N131" s="14" t="s">
        <v>44</v>
      </c>
      <c r="O131" s="14">
        <v>1</v>
      </c>
      <c r="V131" s="2"/>
    </row>
    <row r="132" spans="1:22">
      <c r="A132">
        <v>10139</v>
      </c>
      <c r="B132" s="7" t="s">
        <v>248</v>
      </c>
      <c r="C132" s="14" t="s">
        <v>147</v>
      </c>
      <c r="D132" s="14" t="s">
        <v>39</v>
      </c>
      <c r="E132" s="14" t="s">
        <v>61</v>
      </c>
      <c r="F132" s="14" t="s">
        <v>117</v>
      </c>
      <c r="G132" s="14" t="s">
        <v>66</v>
      </c>
      <c r="H132" s="14">
        <v>10</v>
      </c>
      <c r="I132" s="2">
        <v>1550</v>
      </c>
      <c r="J132" s="3">
        <v>20</v>
      </c>
      <c r="K132" s="2">
        <v>12400</v>
      </c>
      <c r="L132" s="2">
        <v>8928</v>
      </c>
      <c r="M132" s="2">
        <v>3472</v>
      </c>
      <c r="N132" s="14" t="s">
        <v>47</v>
      </c>
      <c r="O132" s="14">
        <v>2</v>
      </c>
      <c r="V132" s="2"/>
    </row>
    <row r="133" spans="1:22">
      <c r="A133">
        <v>10140</v>
      </c>
      <c r="B133" s="7" t="s">
        <v>249</v>
      </c>
      <c r="C133" s="14" t="s">
        <v>135</v>
      </c>
      <c r="D133" s="14" t="s">
        <v>42</v>
      </c>
      <c r="E133" s="14" t="s">
        <v>56</v>
      </c>
      <c r="F133" s="14" t="s">
        <v>57</v>
      </c>
      <c r="G133" s="14" t="s">
        <v>70</v>
      </c>
      <c r="H133" s="14">
        <v>5</v>
      </c>
      <c r="I133" s="2">
        <v>540</v>
      </c>
      <c r="J133" s="3">
        <v>5</v>
      </c>
      <c r="K133" s="2">
        <v>2565</v>
      </c>
      <c r="L133" s="2">
        <v>2103</v>
      </c>
      <c r="M133" s="2">
        <v>462</v>
      </c>
      <c r="N133" s="14" t="s">
        <v>41</v>
      </c>
      <c r="O133" s="14">
        <v>5</v>
      </c>
      <c r="V133" s="2"/>
    </row>
    <row r="134" spans="1:22">
      <c r="A134">
        <v>10141</v>
      </c>
      <c r="B134" s="7" t="s">
        <v>250</v>
      </c>
      <c r="C134" s="14" t="s">
        <v>111</v>
      </c>
      <c r="D134" s="14" t="s">
        <v>39</v>
      </c>
      <c r="E134" s="14" t="s">
        <v>58</v>
      </c>
      <c r="F134" s="14" t="s">
        <v>55</v>
      </c>
      <c r="G134" s="14" t="s">
        <v>70</v>
      </c>
      <c r="H134" s="14">
        <v>15</v>
      </c>
      <c r="I134" s="2">
        <v>280</v>
      </c>
      <c r="J134" s="3">
        <v>20</v>
      </c>
      <c r="K134" s="2">
        <v>3360</v>
      </c>
      <c r="L134" s="2">
        <v>1948</v>
      </c>
      <c r="M134" s="2">
        <v>1412</v>
      </c>
      <c r="N134" s="14" t="s">
        <v>44</v>
      </c>
      <c r="O134" s="14">
        <v>2</v>
      </c>
      <c r="V134" s="2"/>
    </row>
    <row r="135" spans="1:22">
      <c r="A135">
        <v>10142</v>
      </c>
      <c r="B135" s="7" t="s">
        <v>226</v>
      </c>
      <c r="C135" s="14" t="s">
        <v>111</v>
      </c>
      <c r="D135" s="14" t="s">
        <v>39</v>
      </c>
      <c r="E135" s="14" t="s">
        <v>58</v>
      </c>
      <c r="F135" s="14" t="s">
        <v>55</v>
      </c>
      <c r="G135" s="14" t="s">
        <v>70</v>
      </c>
      <c r="H135" s="14">
        <v>4</v>
      </c>
      <c r="I135" s="2">
        <v>1730</v>
      </c>
      <c r="J135" s="3">
        <v>20</v>
      </c>
      <c r="K135" s="2">
        <v>5536</v>
      </c>
      <c r="L135" s="2">
        <v>3376</v>
      </c>
      <c r="M135" s="2">
        <v>2160</v>
      </c>
      <c r="N135" s="14" t="s">
        <v>41</v>
      </c>
      <c r="O135" s="14">
        <v>3</v>
      </c>
      <c r="V135" s="2"/>
    </row>
    <row r="136" spans="1:22">
      <c r="A136">
        <v>10143</v>
      </c>
      <c r="B136" s="7" t="s">
        <v>251</v>
      </c>
      <c r="C136" s="14" t="s">
        <v>141</v>
      </c>
      <c r="D136" s="14" t="s">
        <v>39</v>
      </c>
      <c r="E136" s="14" t="s">
        <v>58</v>
      </c>
      <c r="F136" s="14" t="s">
        <v>55</v>
      </c>
      <c r="G136" s="14" t="s">
        <v>66</v>
      </c>
      <c r="H136" s="14">
        <v>2</v>
      </c>
      <c r="I136" s="2">
        <v>550</v>
      </c>
      <c r="J136" s="3">
        <v>0</v>
      </c>
      <c r="K136" s="2">
        <v>1100</v>
      </c>
      <c r="L136" s="2">
        <v>902</v>
      </c>
      <c r="M136" s="2">
        <v>198</v>
      </c>
      <c r="N136" s="14" t="s">
        <v>44</v>
      </c>
      <c r="O136" s="14">
        <v>3</v>
      </c>
      <c r="V136" s="2"/>
    </row>
    <row r="137" spans="1:22">
      <c r="A137">
        <v>10144</v>
      </c>
      <c r="B137" s="7" t="s">
        <v>252</v>
      </c>
      <c r="C137" s="14" t="s">
        <v>128</v>
      </c>
      <c r="D137" s="14" t="s">
        <v>45</v>
      </c>
      <c r="E137" s="14" t="s">
        <v>61</v>
      </c>
      <c r="F137" s="14" t="s">
        <v>52</v>
      </c>
      <c r="G137" s="14" t="s">
        <v>68</v>
      </c>
      <c r="H137" s="14">
        <v>4</v>
      </c>
      <c r="I137" s="2">
        <v>1660</v>
      </c>
      <c r="J137" s="3">
        <v>20</v>
      </c>
      <c r="K137" s="2">
        <v>5312</v>
      </c>
      <c r="L137" s="2">
        <v>3559</v>
      </c>
      <c r="M137" s="2">
        <v>1753</v>
      </c>
      <c r="N137" s="14" t="s">
        <v>47</v>
      </c>
      <c r="O137" s="14">
        <v>4</v>
      </c>
      <c r="V137" s="2"/>
    </row>
    <row r="138" spans="1:22">
      <c r="A138">
        <v>10145</v>
      </c>
      <c r="B138" s="7" t="s">
        <v>253</v>
      </c>
      <c r="C138" s="14" t="s">
        <v>147</v>
      </c>
      <c r="D138" s="14" t="s">
        <v>45</v>
      </c>
      <c r="E138" s="14" t="s">
        <v>61</v>
      </c>
      <c r="F138" s="14" t="s">
        <v>46</v>
      </c>
      <c r="G138" s="14" t="s">
        <v>66</v>
      </c>
      <c r="H138" s="14">
        <v>15</v>
      </c>
      <c r="I138" s="2">
        <v>1830</v>
      </c>
      <c r="J138" s="3">
        <v>0</v>
      </c>
      <c r="K138" s="2">
        <v>27450</v>
      </c>
      <c r="L138" s="2">
        <v>22234</v>
      </c>
      <c r="M138" s="2">
        <v>5216</v>
      </c>
      <c r="N138" s="14" t="s">
        <v>38</v>
      </c>
      <c r="O138" s="14">
        <v>4</v>
      </c>
      <c r="V138" s="2"/>
    </row>
    <row r="139" spans="1:22">
      <c r="A139">
        <v>10146</v>
      </c>
      <c r="B139" s="7" t="s">
        <v>254</v>
      </c>
      <c r="C139" s="14" t="s">
        <v>130</v>
      </c>
      <c r="D139" s="14" t="s">
        <v>45</v>
      </c>
      <c r="E139" s="14" t="s">
        <v>61</v>
      </c>
      <c r="F139" s="14" t="s">
        <v>46</v>
      </c>
      <c r="G139" s="14" t="s">
        <v>63</v>
      </c>
      <c r="H139" s="14">
        <v>6</v>
      </c>
      <c r="I139" s="2">
        <v>1860</v>
      </c>
      <c r="J139" s="3">
        <v>15</v>
      </c>
      <c r="K139" s="2">
        <v>9486</v>
      </c>
      <c r="L139" s="2">
        <v>7588</v>
      </c>
      <c r="M139" s="2">
        <v>1898</v>
      </c>
      <c r="N139" s="14" t="s">
        <v>38</v>
      </c>
      <c r="O139" s="14">
        <v>2</v>
      </c>
      <c r="V139" s="2"/>
    </row>
    <row r="140" spans="1:22">
      <c r="A140">
        <v>10147</v>
      </c>
      <c r="B140" s="7" t="s">
        <v>255</v>
      </c>
      <c r="C140" s="14" t="s">
        <v>135</v>
      </c>
      <c r="D140" s="14" t="s">
        <v>45</v>
      </c>
      <c r="E140" s="14" t="s">
        <v>56</v>
      </c>
      <c r="F140" s="14" t="s">
        <v>50</v>
      </c>
      <c r="G140" s="14" t="s">
        <v>74</v>
      </c>
      <c r="H140" s="14">
        <v>4</v>
      </c>
      <c r="I140" s="2">
        <v>580</v>
      </c>
      <c r="J140" s="3">
        <v>15</v>
      </c>
      <c r="K140" s="2">
        <v>1972</v>
      </c>
      <c r="L140" s="2">
        <v>1202</v>
      </c>
      <c r="M140" s="2">
        <v>770</v>
      </c>
      <c r="N140" s="14" t="s">
        <v>44</v>
      </c>
      <c r="O140" s="14">
        <v>2</v>
      </c>
      <c r="V140" s="2"/>
    </row>
    <row r="141" spans="1:22">
      <c r="A141">
        <v>10148</v>
      </c>
      <c r="B141" s="7" t="s">
        <v>256</v>
      </c>
      <c r="C141" s="14" t="s">
        <v>120</v>
      </c>
      <c r="D141" s="14" t="s">
        <v>39</v>
      </c>
      <c r="E141" s="14" t="s">
        <v>58</v>
      </c>
      <c r="F141" s="14" t="s">
        <v>43</v>
      </c>
      <c r="G141" s="14" t="s">
        <v>70</v>
      </c>
      <c r="H141" s="14">
        <v>11</v>
      </c>
      <c r="I141" s="2">
        <v>240</v>
      </c>
      <c r="J141" s="3">
        <v>5</v>
      </c>
      <c r="K141" s="2">
        <v>2508</v>
      </c>
      <c r="L141" s="2">
        <v>1981</v>
      </c>
      <c r="M141" s="2">
        <v>527</v>
      </c>
      <c r="N141" s="14" t="s">
        <v>41</v>
      </c>
      <c r="O141" s="14">
        <v>3</v>
      </c>
      <c r="V141" s="2"/>
    </row>
    <row r="142" spans="1:22">
      <c r="A142">
        <v>10150</v>
      </c>
      <c r="B142" s="7" t="s">
        <v>257</v>
      </c>
      <c r="C142" s="14" t="s">
        <v>147</v>
      </c>
      <c r="D142" s="14" t="s">
        <v>42</v>
      </c>
      <c r="E142" s="14" t="s">
        <v>58</v>
      </c>
      <c r="F142" s="14" t="s">
        <v>55</v>
      </c>
      <c r="G142" s="14" t="s">
        <v>70</v>
      </c>
      <c r="H142" s="14">
        <v>15</v>
      </c>
      <c r="I142" s="2">
        <v>1680</v>
      </c>
      <c r="J142" s="3">
        <v>15</v>
      </c>
      <c r="K142" s="2">
        <v>21420</v>
      </c>
      <c r="L142" s="2">
        <v>16921</v>
      </c>
      <c r="M142" s="2">
        <v>4499</v>
      </c>
      <c r="N142" s="14" t="s">
        <v>41</v>
      </c>
      <c r="O142" s="14">
        <v>4</v>
      </c>
      <c r="V142" s="2"/>
    </row>
    <row r="143" spans="1:22">
      <c r="A143">
        <v>10151</v>
      </c>
      <c r="B143" s="7" t="s">
        <v>149</v>
      </c>
      <c r="C143" s="14" t="s">
        <v>120</v>
      </c>
      <c r="D143" s="14" t="s">
        <v>36</v>
      </c>
      <c r="E143" s="14" t="s">
        <v>61</v>
      </c>
      <c r="F143" s="14" t="s">
        <v>143</v>
      </c>
      <c r="G143" s="14" t="s">
        <v>64</v>
      </c>
      <c r="H143" s="14">
        <v>9</v>
      </c>
      <c r="I143" s="2">
        <v>950</v>
      </c>
      <c r="J143" s="3">
        <v>10</v>
      </c>
      <c r="K143" s="2">
        <v>7695</v>
      </c>
      <c r="L143" s="2">
        <v>5155</v>
      </c>
      <c r="M143" s="2">
        <v>2540</v>
      </c>
      <c r="N143" s="14" t="s">
        <v>41</v>
      </c>
      <c r="O143" s="14">
        <v>2</v>
      </c>
      <c r="V143" s="2"/>
    </row>
    <row r="144" spans="1:22">
      <c r="A144">
        <v>10153</v>
      </c>
      <c r="B144" s="7" t="s">
        <v>258</v>
      </c>
      <c r="C144" s="14" t="s">
        <v>111</v>
      </c>
      <c r="D144" s="14" t="s">
        <v>36</v>
      </c>
      <c r="E144" s="14" t="s">
        <v>58</v>
      </c>
      <c r="F144" s="14" t="s">
        <v>40</v>
      </c>
      <c r="G144" s="14" t="s">
        <v>70</v>
      </c>
      <c r="H144" s="14">
        <v>3</v>
      </c>
      <c r="I144" s="2">
        <v>1380</v>
      </c>
      <c r="J144" s="3">
        <v>10</v>
      </c>
      <c r="K144" s="2">
        <v>3726</v>
      </c>
      <c r="L144" s="2">
        <v>2459</v>
      </c>
      <c r="M144" s="2">
        <v>1267</v>
      </c>
      <c r="N144" s="14" t="s">
        <v>38</v>
      </c>
      <c r="O144" s="14">
        <v>4</v>
      </c>
      <c r="V144" s="2"/>
    </row>
    <row r="145" spans="1:22">
      <c r="A145">
        <v>10154</v>
      </c>
      <c r="B145" s="7" t="s">
        <v>259</v>
      </c>
      <c r="C145" s="14" t="s">
        <v>128</v>
      </c>
      <c r="D145" s="14" t="s">
        <v>39</v>
      </c>
      <c r="E145" s="14" t="s">
        <v>56</v>
      </c>
      <c r="F145" s="14" t="s">
        <v>57</v>
      </c>
      <c r="G145" s="14" t="s">
        <v>66</v>
      </c>
      <c r="H145" s="14">
        <v>4</v>
      </c>
      <c r="I145" s="2">
        <v>800</v>
      </c>
      <c r="J145" s="3">
        <v>10</v>
      </c>
      <c r="K145" s="2">
        <v>2880</v>
      </c>
      <c r="L145" s="2">
        <v>2044</v>
      </c>
      <c r="M145" s="2">
        <v>836</v>
      </c>
      <c r="N145" s="14" t="s">
        <v>44</v>
      </c>
      <c r="O145" s="14">
        <v>5</v>
      </c>
      <c r="V145" s="2"/>
    </row>
    <row r="146" spans="1:22">
      <c r="A146">
        <v>10155</v>
      </c>
      <c r="B146" s="7" t="s">
        <v>260</v>
      </c>
      <c r="C146" s="14" t="s">
        <v>111</v>
      </c>
      <c r="D146" s="14" t="s">
        <v>39</v>
      </c>
      <c r="E146" s="14" t="s">
        <v>61</v>
      </c>
      <c r="F146" s="14" t="s">
        <v>51</v>
      </c>
      <c r="G146" s="14" t="s">
        <v>63</v>
      </c>
      <c r="H146" s="14">
        <v>13</v>
      </c>
      <c r="I146" s="2">
        <v>1100</v>
      </c>
      <c r="J146" s="3">
        <v>5</v>
      </c>
      <c r="K146" s="2">
        <v>13585</v>
      </c>
      <c r="L146" s="2">
        <v>10188</v>
      </c>
      <c r="M146" s="2">
        <v>3397</v>
      </c>
      <c r="N146" s="14" t="s">
        <v>41</v>
      </c>
      <c r="O146" s="14">
        <v>2</v>
      </c>
      <c r="V146" s="2"/>
    </row>
    <row r="147" spans="1:22">
      <c r="A147">
        <v>10156</v>
      </c>
      <c r="B147" s="7" t="s">
        <v>261</v>
      </c>
      <c r="C147" s="14" t="s">
        <v>135</v>
      </c>
      <c r="D147" s="14" t="s">
        <v>42</v>
      </c>
      <c r="E147" s="14" t="s">
        <v>61</v>
      </c>
      <c r="F147" s="14" t="s">
        <v>143</v>
      </c>
      <c r="G147" s="14" t="s">
        <v>72</v>
      </c>
      <c r="H147" s="14">
        <v>1</v>
      </c>
      <c r="I147" s="2">
        <v>1790</v>
      </c>
      <c r="J147" s="3">
        <v>5</v>
      </c>
      <c r="K147" s="2">
        <v>1700.5</v>
      </c>
      <c r="L147" s="2">
        <v>1428</v>
      </c>
      <c r="M147" s="2">
        <v>272.5</v>
      </c>
      <c r="N147" s="14" t="s">
        <v>44</v>
      </c>
      <c r="O147" s="14">
        <v>1</v>
      </c>
      <c r="V147" s="2"/>
    </row>
    <row r="148" spans="1:22">
      <c r="A148">
        <v>10157</v>
      </c>
      <c r="B148" s="7" t="s">
        <v>214</v>
      </c>
      <c r="C148" s="14" t="s">
        <v>141</v>
      </c>
      <c r="D148" s="14" t="s">
        <v>39</v>
      </c>
      <c r="E148" s="14" t="s">
        <v>58</v>
      </c>
      <c r="F148" s="14" t="s">
        <v>37</v>
      </c>
      <c r="G148" s="14" t="s">
        <v>70</v>
      </c>
      <c r="H148" s="14">
        <v>3</v>
      </c>
      <c r="I148" s="2">
        <v>900</v>
      </c>
      <c r="J148" s="3">
        <v>15</v>
      </c>
      <c r="K148" s="2">
        <v>2295</v>
      </c>
      <c r="L148" s="2">
        <v>1606</v>
      </c>
      <c r="M148" s="2">
        <v>689</v>
      </c>
      <c r="N148" s="14" t="s">
        <v>38</v>
      </c>
      <c r="O148" s="14">
        <v>3</v>
      </c>
      <c r="V148" s="2"/>
    </row>
    <row r="149" spans="1:22">
      <c r="A149">
        <v>10158</v>
      </c>
      <c r="B149" s="7" t="s">
        <v>247</v>
      </c>
      <c r="C149" s="14" t="s">
        <v>128</v>
      </c>
      <c r="D149" s="14" t="s">
        <v>42</v>
      </c>
      <c r="E149" s="14" t="s">
        <v>56</v>
      </c>
      <c r="F149" s="14" t="s">
        <v>50</v>
      </c>
      <c r="G149" s="14" t="s">
        <v>68</v>
      </c>
      <c r="H149" s="14">
        <v>13</v>
      </c>
      <c r="I149" s="2">
        <v>640</v>
      </c>
      <c r="J149" s="3">
        <v>20</v>
      </c>
      <c r="K149" s="2">
        <v>6656</v>
      </c>
      <c r="L149" s="2">
        <v>4792</v>
      </c>
      <c r="M149" s="2">
        <v>1864</v>
      </c>
      <c r="N149" s="14" t="s">
        <v>44</v>
      </c>
      <c r="O149" s="14">
        <v>4</v>
      </c>
      <c r="V149" s="2"/>
    </row>
    <row r="150" spans="1:22">
      <c r="A150">
        <v>10159</v>
      </c>
      <c r="B150" s="7" t="s">
        <v>252</v>
      </c>
      <c r="C150" s="14" t="s">
        <v>128</v>
      </c>
      <c r="D150" s="14" t="s">
        <v>42</v>
      </c>
      <c r="E150" s="14" t="s">
        <v>58</v>
      </c>
      <c r="F150" s="14" t="s">
        <v>37</v>
      </c>
      <c r="G150" s="14" t="s">
        <v>72</v>
      </c>
      <c r="H150" s="14">
        <v>1</v>
      </c>
      <c r="I150" s="2">
        <v>1390</v>
      </c>
      <c r="J150" s="3">
        <v>15</v>
      </c>
      <c r="K150" s="2">
        <v>1181.5</v>
      </c>
      <c r="L150" s="2">
        <v>992</v>
      </c>
      <c r="M150" s="2">
        <v>189.5</v>
      </c>
      <c r="N150" s="14" t="s">
        <v>41</v>
      </c>
      <c r="O150" s="14">
        <v>5</v>
      </c>
      <c r="V150" s="2"/>
    </row>
    <row r="151" spans="1:22">
      <c r="A151">
        <v>10161</v>
      </c>
      <c r="B151" s="7" t="s">
        <v>262</v>
      </c>
      <c r="C151" s="14" t="s">
        <v>125</v>
      </c>
      <c r="D151" s="14" t="s">
        <v>45</v>
      </c>
      <c r="E151" s="14" t="s">
        <v>56</v>
      </c>
      <c r="F151" s="14" t="s">
        <v>131</v>
      </c>
      <c r="G151" s="14" t="s">
        <v>70</v>
      </c>
      <c r="H151" s="14">
        <v>2</v>
      </c>
      <c r="I151" s="2">
        <v>1420</v>
      </c>
      <c r="J151" s="3">
        <v>0</v>
      </c>
      <c r="K151" s="2">
        <v>2840</v>
      </c>
      <c r="L151" s="2">
        <v>2016</v>
      </c>
      <c r="M151" s="2">
        <v>824</v>
      </c>
      <c r="N151" s="14" t="s">
        <v>47</v>
      </c>
      <c r="O151" s="14">
        <v>3</v>
      </c>
      <c r="V151" s="2"/>
    </row>
    <row r="152" spans="1:22">
      <c r="A152">
        <v>10162</v>
      </c>
      <c r="B152" s="7" t="s">
        <v>113</v>
      </c>
      <c r="C152" s="14" t="s">
        <v>130</v>
      </c>
      <c r="D152" s="14" t="s">
        <v>36</v>
      </c>
      <c r="E152" s="14" t="s">
        <v>61</v>
      </c>
      <c r="F152" s="14" t="s">
        <v>46</v>
      </c>
      <c r="G152" s="14" t="s">
        <v>72</v>
      </c>
      <c r="H152" s="14">
        <v>11</v>
      </c>
      <c r="I152" s="2">
        <v>1540</v>
      </c>
      <c r="J152" s="3">
        <v>5</v>
      </c>
      <c r="K152" s="2">
        <v>16093</v>
      </c>
      <c r="L152" s="2">
        <v>8851</v>
      </c>
      <c r="M152" s="2">
        <v>7242</v>
      </c>
      <c r="N152" s="14" t="s">
        <v>41</v>
      </c>
      <c r="O152" s="14">
        <v>5</v>
      </c>
      <c r="V152" s="2"/>
    </row>
    <row r="153" spans="1:22">
      <c r="A153">
        <v>10163</v>
      </c>
      <c r="B153" s="7" t="s">
        <v>205</v>
      </c>
      <c r="C153" s="14" t="s">
        <v>135</v>
      </c>
      <c r="D153" s="14" t="s">
        <v>45</v>
      </c>
      <c r="E153" s="14" t="s">
        <v>58</v>
      </c>
      <c r="F153" s="14" t="s">
        <v>55</v>
      </c>
      <c r="G153" s="14" t="s">
        <v>74</v>
      </c>
      <c r="H153" s="14">
        <v>9</v>
      </c>
      <c r="I153" s="2">
        <v>1180</v>
      </c>
      <c r="J153" s="3">
        <v>15</v>
      </c>
      <c r="K153" s="2">
        <v>9027</v>
      </c>
      <c r="L153" s="2">
        <v>7672</v>
      </c>
      <c r="M153" s="2">
        <v>1355</v>
      </c>
      <c r="N153" s="14" t="s">
        <v>44</v>
      </c>
      <c r="O153" s="14">
        <v>2</v>
      </c>
      <c r="V153" s="2"/>
    </row>
    <row r="154" spans="1:22">
      <c r="A154">
        <v>10164</v>
      </c>
      <c r="B154" s="7" t="s">
        <v>263</v>
      </c>
      <c r="C154" s="14" t="s">
        <v>128</v>
      </c>
      <c r="D154" s="14" t="s">
        <v>42</v>
      </c>
      <c r="E154" s="14" t="s">
        <v>61</v>
      </c>
      <c r="F154" s="14" t="s">
        <v>143</v>
      </c>
      <c r="G154" s="14" t="s">
        <v>66</v>
      </c>
      <c r="H154" s="14">
        <v>7</v>
      </c>
      <c r="I154" s="2">
        <v>1260</v>
      </c>
      <c r="J154" s="3">
        <v>5</v>
      </c>
      <c r="K154" s="2">
        <v>8379</v>
      </c>
      <c r="L154" s="2">
        <v>4692</v>
      </c>
      <c r="M154" s="2">
        <v>3687</v>
      </c>
      <c r="N154" s="14" t="s">
        <v>38</v>
      </c>
      <c r="O154" s="14">
        <v>4</v>
      </c>
      <c r="V154" s="2"/>
    </row>
    <row r="155" spans="1:22">
      <c r="A155">
        <v>10165</v>
      </c>
      <c r="B155" s="7" t="s">
        <v>264</v>
      </c>
      <c r="C155" s="14" t="s">
        <v>130</v>
      </c>
      <c r="D155" s="14" t="s">
        <v>45</v>
      </c>
      <c r="E155" s="14" t="s">
        <v>61</v>
      </c>
      <c r="F155" s="14" t="s">
        <v>117</v>
      </c>
      <c r="G155" s="14" t="s">
        <v>66</v>
      </c>
      <c r="H155" s="14">
        <v>10</v>
      </c>
      <c r="I155" s="2">
        <v>1710</v>
      </c>
      <c r="J155" s="3">
        <v>10</v>
      </c>
      <c r="K155" s="2">
        <v>15390</v>
      </c>
      <c r="L155" s="2">
        <v>9849</v>
      </c>
      <c r="M155" s="2">
        <v>5541</v>
      </c>
      <c r="N155" s="14" t="s">
        <v>44</v>
      </c>
      <c r="O155" s="14">
        <v>2</v>
      </c>
      <c r="V155" s="2"/>
    </row>
    <row r="156" spans="1:22">
      <c r="A156">
        <v>10166</v>
      </c>
      <c r="B156" s="7" t="s">
        <v>265</v>
      </c>
      <c r="C156" s="14" t="s">
        <v>128</v>
      </c>
      <c r="D156" s="14" t="s">
        <v>36</v>
      </c>
      <c r="E156" s="14" t="s">
        <v>58</v>
      </c>
      <c r="F156" s="14" t="s">
        <v>37</v>
      </c>
      <c r="G156" s="14" t="s">
        <v>63</v>
      </c>
      <c r="H156" s="14">
        <v>15</v>
      </c>
      <c r="I156" s="2">
        <v>1740</v>
      </c>
      <c r="J156" s="3">
        <v>15</v>
      </c>
      <c r="K156" s="2">
        <v>22185</v>
      </c>
      <c r="L156" s="2">
        <v>15529</v>
      </c>
      <c r="M156" s="2">
        <v>6656</v>
      </c>
      <c r="N156" s="14" t="s">
        <v>44</v>
      </c>
      <c r="O156" s="14">
        <v>3</v>
      </c>
      <c r="V156" s="2"/>
    </row>
    <row r="157" spans="1:22">
      <c r="A157">
        <v>10167</v>
      </c>
      <c r="B157" s="7" t="s">
        <v>266</v>
      </c>
      <c r="C157" s="14" t="s">
        <v>111</v>
      </c>
      <c r="D157" s="14" t="s">
        <v>45</v>
      </c>
      <c r="E157" s="14" t="s">
        <v>56</v>
      </c>
      <c r="F157" s="14" t="s">
        <v>49</v>
      </c>
      <c r="G157" s="14" t="s">
        <v>68</v>
      </c>
      <c r="H157" s="14">
        <v>12</v>
      </c>
      <c r="I157" s="2">
        <v>1690</v>
      </c>
      <c r="J157" s="3">
        <v>20</v>
      </c>
      <c r="K157" s="2">
        <v>16224</v>
      </c>
      <c r="L157" s="2">
        <v>10383</v>
      </c>
      <c r="M157" s="2">
        <v>5841</v>
      </c>
      <c r="N157" s="14" t="s">
        <v>38</v>
      </c>
      <c r="O157" s="14">
        <v>5</v>
      </c>
      <c r="V157" s="2"/>
    </row>
    <row r="158" spans="1:22">
      <c r="A158">
        <v>10168</v>
      </c>
      <c r="B158" s="7" t="s">
        <v>267</v>
      </c>
      <c r="C158" s="14" t="s">
        <v>125</v>
      </c>
      <c r="D158" s="14" t="s">
        <v>42</v>
      </c>
      <c r="E158" s="14" t="s">
        <v>58</v>
      </c>
      <c r="F158" s="14" t="s">
        <v>40</v>
      </c>
      <c r="G158" s="14" t="s">
        <v>68</v>
      </c>
      <c r="H158" s="14">
        <v>5</v>
      </c>
      <c r="I158" s="2">
        <v>320</v>
      </c>
      <c r="J158" s="3">
        <v>20</v>
      </c>
      <c r="K158" s="2">
        <v>1280</v>
      </c>
      <c r="L158" s="2">
        <v>1075</v>
      </c>
      <c r="M158" s="2">
        <v>205</v>
      </c>
      <c r="N158" s="14" t="s">
        <v>41</v>
      </c>
      <c r="O158" s="14">
        <v>4</v>
      </c>
      <c r="V158" s="2"/>
    </row>
    <row r="159" spans="1:22">
      <c r="A159">
        <v>10169</v>
      </c>
      <c r="B159" s="7" t="s">
        <v>268</v>
      </c>
      <c r="C159" s="14" t="s">
        <v>111</v>
      </c>
      <c r="D159" s="14" t="s">
        <v>42</v>
      </c>
      <c r="E159" s="14" t="s">
        <v>58</v>
      </c>
      <c r="F159" s="14" t="s">
        <v>43</v>
      </c>
      <c r="G159" s="14" t="s">
        <v>70</v>
      </c>
      <c r="H159" s="14">
        <v>5</v>
      </c>
      <c r="I159" s="2">
        <v>1040</v>
      </c>
      <c r="J159" s="3">
        <v>10</v>
      </c>
      <c r="K159" s="2">
        <v>4680</v>
      </c>
      <c r="L159" s="2">
        <v>3135</v>
      </c>
      <c r="M159" s="2">
        <v>1545</v>
      </c>
      <c r="N159" s="14" t="s">
        <v>38</v>
      </c>
      <c r="O159" s="14">
        <v>5</v>
      </c>
      <c r="V159" s="2"/>
    </row>
    <row r="160" spans="1:22">
      <c r="A160">
        <v>10170</v>
      </c>
      <c r="B160" s="7" t="s">
        <v>269</v>
      </c>
      <c r="C160" s="14" t="s">
        <v>111</v>
      </c>
      <c r="D160" s="14" t="s">
        <v>45</v>
      </c>
      <c r="E160" s="14" t="s">
        <v>56</v>
      </c>
      <c r="F160" s="14" t="s">
        <v>49</v>
      </c>
      <c r="G160" s="14" t="s">
        <v>66</v>
      </c>
      <c r="H160" s="14">
        <v>8</v>
      </c>
      <c r="I160" s="2">
        <v>1890</v>
      </c>
      <c r="J160" s="3">
        <v>20</v>
      </c>
      <c r="K160" s="2">
        <v>12096</v>
      </c>
      <c r="L160" s="2">
        <v>7741</v>
      </c>
      <c r="M160" s="2">
        <v>4355</v>
      </c>
      <c r="N160" s="14" t="s">
        <v>38</v>
      </c>
      <c r="O160" s="14">
        <v>3</v>
      </c>
      <c r="V160" s="2"/>
    </row>
    <row r="161" spans="1:22">
      <c r="A161">
        <v>10171</v>
      </c>
      <c r="B161" s="7" t="s">
        <v>214</v>
      </c>
      <c r="C161" s="14" t="s">
        <v>116</v>
      </c>
      <c r="D161" s="14" t="s">
        <v>42</v>
      </c>
      <c r="E161" s="14" t="s">
        <v>61</v>
      </c>
      <c r="F161" s="14" t="s">
        <v>52</v>
      </c>
      <c r="G161" s="14" t="s">
        <v>68</v>
      </c>
      <c r="H161" s="14">
        <v>13</v>
      </c>
      <c r="I161" s="2">
        <v>2000</v>
      </c>
      <c r="J161" s="3">
        <v>10</v>
      </c>
      <c r="K161" s="2">
        <v>23400</v>
      </c>
      <c r="L161" s="2">
        <v>18018</v>
      </c>
      <c r="M161" s="2">
        <v>5382</v>
      </c>
      <c r="N161" s="14" t="s">
        <v>47</v>
      </c>
      <c r="O161" s="14">
        <v>4</v>
      </c>
      <c r="V161" s="2"/>
    </row>
    <row r="162" spans="1:22">
      <c r="A162">
        <v>10172</v>
      </c>
      <c r="B162" s="7" t="s">
        <v>270</v>
      </c>
      <c r="C162" s="14" t="s">
        <v>130</v>
      </c>
      <c r="D162" s="14" t="s">
        <v>36</v>
      </c>
      <c r="E162" s="14" t="s">
        <v>61</v>
      </c>
      <c r="F162" s="14" t="s">
        <v>46</v>
      </c>
      <c r="G162" s="14" t="s">
        <v>63</v>
      </c>
      <c r="H162" s="14">
        <v>9</v>
      </c>
      <c r="I162" s="2">
        <v>1490</v>
      </c>
      <c r="J162" s="3">
        <v>10</v>
      </c>
      <c r="K162" s="2">
        <v>12069</v>
      </c>
      <c r="L162" s="2">
        <v>8931</v>
      </c>
      <c r="M162" s="2">
        <v>3138</v>
      </c>
      <c r="N162" s="14" t="s">
        <v>41</v>
      </c>
      <c r="O162" s="14">
        <v>3</v>
      </c>
      <c r="V162" s="2"/>
    </row>
    <row r="163" spans="1:22">
      <c r="A163">
        <v>10173</v>
      </c>
      <c r="B163" s="7" t="s">
        <v>271</v>
      </c>
      <c r="C163" s="14" t="s">
        <v>111</v>
      </c>
      <c r="D163" s="14" t="s">
        <v>36</v>
      </c>
      <c r="E163" s="14" t="s">
        <v>61</v>
      </c>
      <c r="F163" s="14" t="s">
        <v>52</v>
      </c>
      <c r="G163" s="14" t="s">
        <v>74</v>
      </c>
      <c r="H163" s="14">
        <v>2</v>
      </c>
      <c r="I163" s="2">
        <v>1120</v>
      </c>
      <c r="J163" s="3">
        <v>20</v>
      </c>
      <c r="K163" s="2">
        <v>1792</v>
      </c>
      <c r="L163" s="2">
        <v>1397</v>
      </c>
      <c r="M163" s="2">
        <v>395</v>
      </c>
      <c r="N163" s="14" t="s">
        <v>38</v>
      </c>
      <c r="O163" s="14">
        <v>5</v>
      </c>
      <c r="V163" s="2"/>
    </row>
    <row r="164" spans="1:22">
      <c r="A164">
        <v>10174</v>
      </c>
      <c r="B164" s="7" t="s">
        <v>272</v>
      </c>
      <c r="C164" s="14" t="s">
        <v>116</v>
      </c>
      <c r="D164" s="14" t="s">
        <v>36</v>
      </c>
      <c r="E164" s="14" t="s">
        <v>58</v>
      </c>
      <c r="F164" s="14" t="s">
        <v>43</v>
      </c>
      <c r="G164" s="14" t="s">
        <v>70</v>
      </c>
      <c r="H164" s="14">
        <v>5</v>
      </c>
      <c r="I164" s="2">
        <v>1880</v>
      </c>
      <c r="J164" s="3">
        <v>0</v>
      </c>
      <c r="K164" s="2">
        <v>9400</v>
      </c>
      <c r="L164" s="2">
        <v>7802</v>
      </c>
      <c r="M164" s="2">
        <v>1598</v>
      </c>
      <c r="N164" s="14" t="s">
        <v>38</v>
      </c>
      <c r="O164" s="14">
        <v>4</v>
      </c>
      <c r="V164" s="2"/>
    </row>
    <row r="165" spans="1:22">
      <c r="A165">
        <v>10175</v>
      </c>
      <c r="B165" s="7" t="s">
        <v>273</v>
      </c>
      <c r="C165" s="14" t="s">
        <v>135</v>
      </c>
      <c r="D165" s="14" t="s">
        <v>36</v>
      </c>
      <c r="E165" s="14" t="s">
        <v>56</v>
      </c>
      <c r="F165" s="14" t="s">
        <v>131</v>
      </c>
      <c r="G165" s="14" t="s">
        <v>66</v>
      </c>
      <c r="H165" s="14">
        <v>6</v>
      </c>
      <c r="I165" s="2">
        <v>1080</v>
      </c>
      <c r="J165" s="3">
        <v>15</v>
      </c>
      <c r="K165" s="2">
        <v>5508</v>
      </c>
      <c r="L165" s="2">
        <v>3580</v>
      </c>
      <c r="M165" s="2">
        <v>1928</v>
      </c>
      <c r="N165" s="14" t="s">
        <v>44</v>
      </c>
      <c r="O165" s="14">
        <v>3</v>
      </c>
      <c r="V165" s="2"/>
    </row>
    <row r="166" spans="1:22">
      <c r="A166">
        <v>10176</v>
      </c>
      <c r="B166" s="7" t="s">
        <v>274</v>
      </c>
      <c r="C166" s="14" t="s">
        <v>141</v>
      </c>
      <c r="D166" s="14" t="s">
        <v>42</v>
      </c>
      <c r="E166" s="14" t="s">
        <v>56</v>
      </c>
      <c r="F166" s="14" t="s">
        <v>150</v>
      </c>
      <c r="G166" s="14" t="s">
        <v>72</v>
      </c>
      <c r="H166" s="14">
        <v>14</v>
      </c>
      <c r="I166" s="2">
        <v>410</v>
      </c>
      <c r="J166" s="3">
        <v>15</v>
      </c>
      <c r="K166" s="2">
        <v>4879</v>
      </c>
      <c r="L166" s="2">
        <v>3366</v>
      </c>
      <c r="M166" s="2">
        <v>1513</v>
      </c>
      <c r="N166" s="14" t="s">
        <v>41</v>
      </c>
      <c r="O166" s="14">
        <v>1</v>
      </c>
      <c r="V166" s="2"/>
    </row>
    <row r="167" spans="1:22">
      <c r="A167">
        <v>10177</v>
      </c>
      <c r="B167" s="7" t="s">
        <v>255</v>
      </c>
      <c r="C167" s="14" t="s">
        <v>141</v>
      </c>
      <c r="D167" s="14" t="s">
        <v>36</v>
      </c>
      <c r="E167" s="14" t="s">
        <v>61</v>
      </c>
      <c r="F167" s="14" t="s">
        <v>51</v>
      </c>
      <c r="G167" s="14" t="s">
        <v>68</v>
      </c>
      <c r="H167" s="14">
        <v>5</v>
      </c>
      <c r="I167" s="2">
        <v>440</v>
      </c>
      <c r="J167" s="3">
        <v>5</v>
      </c>
      <c r="K167" s="2">
        <v>2090</v>
      </c>
      <c r="L167" s="2">
        <v>1358</v>
      </c>
      <c r="M167" s="2">
        <v>732</v>
      </c>
      <c r="N167" s="14" t="s">
        <v>47</v>
      </c>
      <c r="O167" s="14">
        <v>4</v>
      </c>
      <c r="V167" s="2"/>
    </row>
    <row r="168" spans="1:22">
      <c r="A168">
        <v>10178</v>
      </c>
      <c r="B168" s="7" t="s">
        <v>275</v>
      </c>
      <c r="C168" s="14" t="s">
        <v>141</v>
      </c>
      <c r="D168" s="14" t="s">
        <v>39</v>
      </c>
      <c r="E168" s="14" t="s">
        <v>56</v>
      </c>
      <c r="F168" s="14" t="s">
        <v>131</v>
      </c>
      <c r="G168" s="14" t="s">
        <v>70</v>
      </c>
      <c r="H168" s="14">
        <v>12</v>
      </c>
      <c r="I168" s="2">
        <v>900</v>
      </c>
      <c r="J168" s="3">
        <v>20</v>
      </c>
      <c r="K168" s="2">
        <v>8640</v>
      </c>
      <c r="L168" s="2">
        <v>5011</v>
      </c>
      <c r="M168" s="2">
        <v>3629</v>
      </c>
      <c r="N168" s="14" t="s">
        <v>44</v>
      </c>
      <c r="O168" s="14">
        <v>4</v>
      </c>
      <c r="V168" s="2"/>
    </row>
    <row r="169" spans="1:22">
      <c r="A169">
        <v>10179</v>
      </c>
      <c r="B169" s="7" t="s">
        <v>232</v>
      </c>
      <c r="C169" s="14" t="s">
        <v>130</v>
      </c>
      <c r="D169" s="14" t="s">
        <v>45</v>
      </c>
      <c r="E169" s="14" t="s">
        <v>56</v>
      </c>
      <c r="F169" s="14" t="s">
        <v>150</v>
      </c>
      <c r="G169" s="14" t="s">
        <v>74</v>
      </c>
      <c r="H169" s="14">
        <v>8</v>
      </c>
      <c r="I169" s="2">
        <v>1700</v>
      </c>
      <c r="J169" s="3">
        <v>20</v>
      </c>
      <c r="K169" s="2">
        <v>10880</v>
      </c>
      <c r="L169" s="2">
        <v>7289</v>
      </c>
      <c r="M169" s="2">
        <v>3591</v>
      </c>
      <c r="N169" s="14" t="s">
        <v>41</v>
      </c>
      <c r="O169" s="14">
        <v>3</v>
      </c>
      <c r="V169" s="2"/>
    </row>
    <row r="170" spans="1:22">
      <c r="A170">
        <v>10180</v>
      </c>
      <c r="B170" s="7" t="s">
        <v>276</v>
      </c>
      <c r="C170" s="14" t="s">
        <v>135</v>
      </c>
      <c r="D170" s="14" t="s">
        <v>36</v>
      </c>
      <c r="E170" s="14" t="s">
        <v>61</v>
      </c>
      <c r="F170" s="14" t="s">
        <v>143</v>
      </c>
      <c r="G170" s="14" t="s">
        <v>68</v>
      </c>
      <c r="H170" s="14">
        <v>1</v>
      </c>
      <c r="I170" s="2">
        <v>1320</v>
      </c>
      <c r="J170" s="3">
        <v>15</v>
      </c>
      <c r="K170" s="2">
        <v>1122</v>
      </c>
      <c r="L170" s="2">
        <v>841</v>
      </c>
      <c r="M170" s="2">
        <v>281</v>
      </c>
      <c r="N170" s="14" t="s">
        <v>47</v>
      </c>
      <c r="O170" s="14">
        <v>5</v>
      </c>
      <c r="V170" s="2"/>
    </row>
    <row r="171" spans="1:22">
      <c r="A171">
        <v>10181</v>
      </c>
      <c r="B171" s="7" t="s">
        <v>277</v>
      </c>
      <c r="C171" s="14" t="s">
        <v>130</v>
      </c>
      <c r="D171" s="14" t="s">
        <v>36</v>
      </c>
      <c r="E171" s="14" t="s">
        <v>58</v>
      </c>
      <c r="F171" s="14" t="s">
        <v>43</v>
      </c>
      <c r="G171" s="14" t="s">
        <v>63</v>
      </c>
      <c r="H171" s="14">
        <v>5</v>
      </c>
      <c r="I171" s="2">
        <v>1170</v>
      </c>
      <c r="J171" s="3">
        <v>5</v>
      </c>
      <c r="K171" s="2">
        <v>5557.5</v>
      </c>
      <c r="L171" s="2">
        <v>4501</v>
      </c>
      <c r="M171" s="2">
        <v>1056.5</v>
      </c>
      <c r="N171" s="14" t="s">
        <v>44</v>
      </c>
      <c r="O171" s="14">
        <v>3</v>
      </c>
      <c r="V171" s="2"/>
    </row>
    <row r="172" spans="1:22">
      <c r="A172">
        <v>10182</v>
      </c>
      <c r="B172" s="7" t="s">
        <v>278</v>
      </c>
      <c r="C172" s="14" t="s">
        <v>141</v>
      </c>
      <c r="D172" s="14" t="s">
        <v>42</v>
      </c>
      <c r="E172" s="14" t="s">
        <v>58</v>
      </c>
      <c r="F172" s="14" t="s">
        <v>37</v>
      </c>
      <c r="G172" s="14" t="s">
        <v>74</v>
      </c>
      <c r="H172" s="14">
        <v>14</v>
      </c>
      <c r="I172" s="2">
        <v>2000</v>
      </c>
      <c r="J172" s="3">
        <v>20</v>
      </c>
      <c r="K172" s="2">
        <v>22400</v>
      </c>
      <c r="L172" s="2">
        <v>18816</v>
      </c>
      <c r="M172" s="2">
        <v>3584</v>
      </c>
      <c r="N172" s="14" t="s">
        <v>47</v>
      </c>
      <c r="O172" s="14">
        <v>4</v>
      </c>
      <c r="V172" s="2"/>
    </row>
    <row r="173" spans="1:22">
      <c r="A173">
        <v>10183</v>
      </c>
      <c r="B173" s="7" t="s">
        <v>279</v>
      </c>
      <c r="C173" s="14" t="s">
        <v>147</v>
      </c>
      <c r="D173" s="14" t="s">
        <v>36</v>
      </c>
      <c r="E173" s="14" t="s">
        <v>56</v>
      </c>
      <c r="F173" s="14" t="s">
        <v>49</v>
      </c>
      <c r="G173" s="14" t="s">
        <v>72</v>
      </c>
      <c r="H173" s="14">
        <v>12</v>
      </c>
      <c r="I173" s="2">
        <v>1860</v>
      </c>
      <c r="J173" s="3">
        <v>5</v>
      </c>
      <c r="K173" s="2">
        <v>21204</v>
      </c>
      <c r="L173" s="2">
        <v>16539</v>
      </c>
      <c r="M173" s="2">
        <v>4665</v>
      </c>
      <c r="N173" s="14" t="s">
        <v>38</v>
      </c>
      <c r="O173" s="14">
        <v>4</v>
      </c>
      <c r="V173" s="2"/>
    </row>
    <row r="174" spans="1:22">
      <c r="A174">
        <v>10184</v>
      </c>
      <c r="B174" s="7" t="s">
        <v>229</v>
      </c>
      <c r="C174" s="14" t="s">
        <v>111</v>
      </c>
      <c r="D174" s="14" t="s">
        <v>45</v>
      </c>
      <c r="E174" s="14" t="s">
        <v>56</v>
      </c>
      <c r="F174" s="14" t="s">
        <v>57</v>
      </c>
      <c r="G174" s="14" t="s">
        <v>72</v>
      </c>
      <c r="H174" s="14">
        <v>14</v>
      </c>
      <c r="I174" s="2">
        <v>1810</v>
      </c>
      <c r="J174" s="3">
        <v>15</v>
      </c>
      <c r="K174" s="2">
        <v>21539</v>
      </c>
      <c r="L174" s="2">
        <v>15723</v>
      </c>
      <c r="M174" s="2">
        <v>5816</v>
      </c>
      <c r="N174" s="14" t="s">
        <v>44</v>
      </c>
      <c r="O174" s="14">
        <v>4</v>
      </c>
      <c r="V174" s="2"/>
    </row>
    <row r="175" spans="1:22">
      <c r="A175">
        <v>10185</v>
      </c>
      <c r="B175" s="7" t="s">
        <v>155</v>
      </c>
      <c r="C175" s="14" t="s">
        <v>147</v>
      </c>
      <c r="D175" s="14" t="s">
        <v>39</v>
      </c>
      <c r="E175" s="14" t="s">
        <v>56</v>
      </c>
      <c r="F175" s="14" t="s">
        <v>150</v>
      </c>
      <c r="G175" s="14" t="s">
        <v>72</v>
      </c>
      <c r="H175" s="14">
        <v>5</v>
      </c>
      <c r="I175" s="2">
        <v>1520</v>
      </c>
      <c r="J175" s="3">
        <v>20</v>
      </c>
      <c r="K175" s="2">
        <v>6080</v>
      </c>
      <c r="L175" s="2">
        <v>4681</v>
      </c>
      <c r="M175" s="2">
        <v>1399</v>
      </c>
      <c r="N175" s="14" t="s">
        <v>38</v>
      </c>
      <c r="O175" s="14">
        <v>5</v>
      </c>
      <c r="V175" s="2"/>
    </row>
    <row r="176" spans="1:22">
      <c r="A176">
        <v>10186</v>
      </c>
      <c r="B176" s="7" t="s">
        <v>280</v>
      </c>
      <c r="C176" s="14" t="s">
        <v>111</v>
      </c>
      <c r="D176" s="14" t="s">
        <v>42</v>
      </c>
      <c r="E176" s="14" t="s">
        <v>58</v>
      </c>
      <c r="F176" s="14" t="s">
        <v>37</v>
      </c>
      <c r="G176" s="14" t="s">
        <v>63</v>
      </c>
      <c r="H176" s="14">
        <v>8</v>
      </c>
      <c r="I176" s="2">
        <v>1950</v>
      </c>
      <c r="J176" s="3">
        <v>15</v>
      </c>
      <c r="K176" s="2">
        <v>13260</v>
      </c>
      <c r="L176" s="2">
        <v>10342</v>
      </c>
      <c r="M176" s="2">
        <v>2918</v>
      </c>
      <c r="N176" s="14" t="s">
        <v>41</v>
      </c>
      <c r="O176" s="14">
        <v>4</v>
      </c>
      <c r="V176" s="2"/>
    </row>
    <row r="177" spans="1:22">
      <c r="A177">
        <v>10187</v>
      </c>
      <c r="B177" s="7" t="s">
        <v>281</v>
      </c>
      <c r="C177" s="14" t="s">
        <v>130</v>
      </c>
      <c r="D177" s="14" t="s">
        <v>36</v>
      </c>
      <c r="E177" s="14" t="s">
        <v>61</v>
      </c>
      <c r="F177" s="14" t="s">
        <v>117</v>
      </c>
      <c r="G177" s="14" t="s">
        <v>68</v>
      </c>
      <c r="H177" s="14">
        <v>1</v>
      </c>
      <c r="I177" s="2">
        <v>960</v>
      </c>
      <c r="J177" s="3">
        <v>20</v>
      </c>
      <c r="K177" s="2">
        <v>768</v>
      </c>
      <c r="L177" s="2">
        <v>453</v>
      </c>
      <c r="M177" s="2">
        <v>315</v>
      </c>
      <c r="N177" s="14" t="s">
        <v>47</v>
      </c>
      <c r="O177" s="14">
        <v>5</v>
      </c>
      <c r="V177" s="2"/>
    </row>
    <row r="178" spans="1:22">
      <c r="A178">
        <v>10188</v>
      </c>
      <c r="B178" s="7" t="s">
        <v>178</v>
      </c>
      <c r="C178" s="14" t="s">
        <v>120</v>
      </c>
      <c r="D178" s="14" t="s">
        <v>42</v>
      </c>
      <c r="E178" s="14" t="s">
        <v>61</v>
      </c>
      <c r="F178" s="14" t="s">
        <v>46</v>
      </c>
      <c r="G178" s="14" t="s">
        <v>63</v>
      </c>
      <c r="H178" s="14">
        <v>8</v>
      </c>
      <c r="I178" s="2">
        <v>960</v>
      </c>
      <c r="J178" s="3">
        <v>0</v>
      </c>
      <c r="K178" s="2">
        <v>7680</v>
      </c>
      <c r="L178" s="2">
        <v>5990</v>
      </c>
      <c r="M178" s="2">
        <v>1690</v>
      </c>
      <c r="N178" s="14" t="s">
        <v>38</v>
      </c>
      <c r="O178" s="14">
        <v>4</v>
      </c>
      <c r="V178" s="2"/>
    </row>
    <row r="179" spans="1:22">
      <c r="A179">
        <v>10189</v>
      </c>
      <c r="B179" s="7" t="s">
        <v>282</v>
      </c>
      <c r="C179" s="14" t="s">
        <v>128</v>
      </c>
      <c r="D179" s="14" t="s">
        <v>42</v>
      </c>
      <c r="E179" s="14" t="s">
        <v>58</v>
      </c>
      <c r="F179" s="14" t="s">
        <v>40</v>
      </c>
      <c r="G179" s="14" t="s">
        <v>70</v>
      </c>
      <c r="H179" s="14">
        <v>14</v>
      </c>
      <c r="I179" s="2">
        <v>1730</v>
      </c>
      <c r="J179" s="3">
        <v>0</v>
      </c>
      <c r="K179" s="2">
        <v>24220</v>
      </c>
      <c r="L179" s="2">
        <v>19860</v>
      </c>
      <c r="M179" s="2">
        <v>4360</v>
      </c>
      <c r="N179" s="14" t="s">
        <v>38</v>
      </c>
      <c r="O179" s="14">
        <v>1</v>
      </c>
      <c r="V179" s="2"/>
    </row>
    <row r="180" spans="1:22">
      <c r="A180">
        <v>10190</v>
      </c>
      <c r="B180" s="7" t="s">
        <v>283</v>
      </c>
      <c r="C180" s="14" t="s">
        <v>130</v>
      </c>
      <c r="D180" s="14" t="s">
        <v>45</v>
      </c>
      <c r="E180" s="14" t="s">
        <v>61</v>
      </c>
      <c r="F180" s="14" t="s">
        <v>117</v>
      </c>
      <c r="G180" s="14" t="s">
        <v>72</v>
      </c>
      <c r="H180" s="14">
        <v>3</v>
      </c>
      <c r="I180" s="2">
        <v>600</v>
      </c>
      <c r="J180" s="3">
        <v>20</v>
      </c>
      <c r="K180" s="2">
        <v>1440</v>
      </c>
      <c r="L180" s="2">
        <v>1224</v>
      </c>
      <c r="M180" s="2">
        <v>216</v>
      </c>
      <c r="N180" s="14" t="s">
        <v>38</v>
      </c>
      <c r="O180" s="14">
        <v>4</v>
      </c>
      <c r="V180" s="2"/>
    </row>
    <row r="181" spans="1:22">
      <c r="A181">
        <v>10191</v>
      </c>
      <c r="B181" s="7" t="s">
        <v>284</v>
      </c>
      <c r="C181" s="14" t="s">
        <v>135</v>
      </c>
      <c r="D181" s="14" t="s">
        <v>42</v>
      </c>
      <c r="E181" s="14" t="s">
        <v>56</v>
      </c>
      <c r="F181" s="14" t="s">
        <v>50</v>
      </c>
      <c r="G181" s="14" t="s">
        <v>66</v>
      </c>
      <c r="H181" s="14">
        <v>15</v>
      </c>
      <c r="I181" s="2">
        <v>1360</v>
      </c>
      <c r="J181" s="3">
        <v>20</v>
      </c>
      <c r="K181" s="2">
        <v>16320</v>
      </c>
      <c r="L181" s="2">
        <v>10771</v>
      </c>
      <c r="M181" s="2">
        <v>5549</v>
      </c>
      <c r="N181" s="14" t="s">
        <v>38</v>
      </c>
      <c r="O181" s="14">
        <v>2</v>
      </c>
      <c r="V181" s="2"/>
    </row>
    <row r="182" spans="1:22">
      <c r="A182">
        <v>10192</v>
      </c>
      <c r="B182" s="7" t="s">
        <v>285</v>
      </c>
      <c r="C182" s="14" t="s">
        <v>111</v>
      </c>
      <c r="D182" s="14" t="s">
        <v>42</v>
      </c>
      <c r="E182" s="14" t="s">
        <v>61</v>
      </c>
      <c r="F182" s="14" t="s">
        <v>117</v>
      </c>
      <c r="G182" s="14" t="s">
        <v>70</v>
      </c>
      <c r="H182" s="14">
        <v>12</v>
      </c>
      <c r="I182" s="2">
        <v>1340</v>
      </c>
      <c r="J182" s="3">
        <v>0</v>
      </c>
      <c r="K182" s="2">
        <v>16080</v>
      </c>
      <c r="L182" s="2">
        <v>9969</v>
      </c>
      <c r="M182" s="2">
        <v>6111</v>
      </c>
      <c r="N182" s="14" t="s">
        <v>44</v>
      </c>
      <c r="O182" s="14">
        <v>3</v>
      </c>
      <c r="V182" s="2"/>
    </row>
    <row r="183" spans="1:22">
      <c r="A183">
        <v>10193</v>
      </c>
      <c r="B183" s="7" t="s">
        <v>286</v>
      </c>
      <c r="C183" s="14" t="s">
        <v>125</v>
      </c>
      <c r="D183" s="14" t="s">
        <v>36</v>
      </c>
      <c r="E183" s="14" t="s">
        <v>58</v>
      </c>
      <c r="F183" s="14" t="s">
        <v>43</v>
      </c>
      <c r="G183" s="14" t="s">
        <v>68</v>
      </c>
      <c r="H183" s="14">
        <v>14</v>
      </c>
      <c r="I183" s="2">
        <v>1150</v>
      </c>
      <c r="J183" s="3">
        <v>0</v>
      </c>
      <c r="K183" s="2">
        <v>16100</v>
      </c>
      <c r="L183" s="2">
        <v>9982</v>
      </c>
      <c r="M183" s="2">
        <v>6118</v>
      </c>
      <c r="N183" s="14" t="s">
        <v>41</v>
      </c>
      <c r="O183" s="14">
        <v>5</v>
      </c>
      <c r="V183" s="2"/>
    </row>
    <row r="184" spans="1:22">
      <c r="A184">
        <v>10194</v>
      </c>
      <c r="B184" s="7" t="s">
        <v>287</v>
      </c>
      <c r="C184" s="14" t="s">
        <v>111</v>
      </c>
      <c r="D184" s="14" t="s">
        <v>45</v>
      </c>
      <c r="E184" s="14" t="s">
        <v>56</v>
      </c>
      <c r="F184" s="14" t="s">
        <v>150</v>
      </c>
      <c r="G184" s="14" t="s">
        <v>72</v>
      </c>
      <c r="H184" s="14">
        <v>5</v>
      </c>
      <c r="I184" s="2">
        <v>480</v>
      </c>
      <c r="J184" s="3">
        <v>20</v>
      </c>
      <c r="K184" s="2">
        <v>1920</v>
      </c>
      <c r="L184" s="2">
        <v>1478</v>
      </c>
      <c r="M184" s="2">
        <v>442</v>
      </c>
      <c r="N184" s="14" t="s">
        <v>44</v>
      </c>
      <c r="O184" s="14">
        <v>1</v>
      </c>
      <c r="V184" s="2"/>
    </row>
    <row r="185" spans="1:22">
      <c r="A185">
        <v>10195</v>
      </c>
      <c r="B185" s="7" t="s">
        <v>188</v>
      </c>
      <c r="C185" s="14" t="s">
        <v>116</v>
      </c>
      <c r="D185" s="14" t="s">
        <v>42</v>
      </c>
      <c r="E185" s="14" t="s">
        <v>61</v>
      </c>
      <c r="F185" s="14" t="s">
        <v>52</v>
      </c>
      <c r="G185" s="14" t="s">
        <v>63</v>
      </c>
      <c r="H185" s="14">
        <v>10</v>
      </c>
      <c r="I185" s="2">
        <v>1740</v>
      </c>
      <c r="J185" s="3">
        <v>0</v>
      </c>
      <c r="K185" s="2">
        <v>17400</v>
      </c>
      <c r="L185" s="2">
        <v>9744</v>
      </c>
      <c r="M185" s="2">
        <v>7656</v>
      </c>
      <c r="N185" s="14" t="s">
        <v>41</v>
      </c>
      <c r="O185" s="14">
        <v>2</v>
      </c>
      <c r="V185" s="2"/>
    </row>
    <row r="186" spans="1:22">
      <c r="A186">
        <v>10196</v>
      </c>
      <c r="B186" s="7" t="s">
        <v>288</v>
      </c>
      <c r="C186" s="14" t="s">
        <v>111</v>
      </c>
      <c r="D186" s="14" t="s">
        <v>42</v>
      </c>
      <c r="E186" s="14" t="s">
        <v>61</v>
      </c>
      <c r="F186" s="14" t="s">
        <v>51</v>
      </c>
      <c r="G186" s="14" t="s">
        <v>63</v>
      </c>
      <c r="H186" s="14">
        <v>2</v>
      </c>
      <c r="I186" s="2">
        <v>1090</v>
      </c>
      <c r="J186" s="3">
        <v>0</v>
      </c>
      <c r="K186" s="2">
        <v>2180</v>
      </c>
      <c r="L186" s="2">
        <v>1569</v>
      </c>
      <c r="M186" s="2">
        <v>611</v>
      </c>
      <c r="N186" s="14" t="s">
        <v>38</v>
      </c>
      <c r="O186" s="14">
        <v>5</v>
      </c>
      <c r="V186" s="2"/>
    </row>
    <row r="187" spans="1:22">
      <c r="A187">
        <v>10197</v>
      </c>
      <c r="B187" s="7" t="s">
        <v>289</v>
      </c>
      <c r="C187" s="14" t="s">
        <v>125</v>
      </c>
      <c r="D187" s="14" t="s">
        <v>42</v>
      </c>
      <c r="E187" s="14" t="s">
        <v>61</v>
      </c>
      <c r="F187" s="14" t="s">
        <v>46</v>
      </c>
      <c r="G187" s="14" t="s">
        <v>64</v>
      </c>
      <c r="H187" s="14">
        <v>8</v>
      </c>
      <c r="I187" s="2">
        <v>340</v>
      </c>
      <c r="J187" s="3">
        <v>0</v>
      </c>
      <c r="K187" s="2">
        <v>2720</v>
      </c>
      <c r="L187" s="2">
        <v>1822</v>
      </c>
      <c r="M187" s="2">
        <v>898</v>
      </c>
      <c r="N187" s="14" t="s">
        <v>44</v>
      </c>
      <c r="O187" s="14">
        <v>1</v>
      </c>
      <c r="V187" s="2"/>
    </row>
    <row r="188" spans="1:22">
      <c r="A188">
        <v>10198</v>
      </c>
      <c r="B188" s="7" t="s">
        <v>283</v>
      </c>
      <c r="C188" s="14" t="s">
        <v>128</v>
      </c>
      <c r="D188" s="14" t="s">
        <v>36</v>
      </c>
      <c r="E188" s="14" t="s">
        <v>56</v>
      </c>
      <c r="F188" s="14" t="s">
        <v>57</v>
      </c>
      <c r="G188" s="14" t="s">
        <v>66</v>
      </c>
      <c r="H188" s="14">
        <v>11</v>
      </c>
      <c r="I188" s="2">
        <v>220</v>
      </c>
      <c r="J188" s="3">
        <v>20</v>
      </c>
      <c r="K188" s="2">
        <v>1936</v>
      </c>
      <c r="L188" s="2">
        <v>1161</v>
      </c>
      <c r="M188" s="2">
        <v>775</v>
      </c>
      <c r="N188" s="14" t="s">
        <v>41</v>
      </c>
      <c r="O188" s="14">
        <v>1</v>
      </c>
      <c r="V188" s="2"/>
    </row>
    <row r="189" spans="1:22">
      <c r="A189">
        <v>10199</v>
      </c>
      <c r="B189" s="7" t="s">
        <v>290</v>
      </c>
      <c r="C189" s="14" t="s">
        <v>128</v>
      </c>
      <c r="D189" s="14" t="s">
        <v>36</v>
      </c>
      <c r="E189" s="14" t="s">
        <v>58</v>
      </c>
      <c r="F189" s="14" t="s">
        <v>40</v>
      </c>
      <c r="G189" s="14" t="s">
        <v>68</v>
      </c>
      <c r="H189" s="14">
        <v>13</v>
      </c>
      <c r="I189" s="2">
        <v>1600</v>
      </c>
      <c r="J189" s="3">
        <v>15</v>
      </c>
      <c r="K189" s="2">
        <v>17680</v>
      </c>
      <c r="L189" s="2">
        <v>12552</v>
      </c>
      <c r="M189" s="2">
        <v>5128</v>
      </c>
      <c r="N189" s="14" t="s">
        <v>47</v>
      </c>
      <c r="O189" s="14">
        <v>5</v>
      </c>
      <c r="V189" s="2"/>
    </row>
    <row r="190" spans="1:22">
      <c r="A190">
        <v>10200</v>
      </c>
      <c r="B190" s="7" t="s">
        <v>291</v>
      </c>
      <c r="C190" s="14" t="s">
        <v>116</v>
      </c>
      <c r="D190" s="14" t="s">
        <v>36</v>
      </c>
      <c r="E190" s="14" t="s">
        <v>58</v>
      </c>
      <c r="F190" s="14" t="s">
        <v>55</v>
      </c>
      <c r="G190" s="14" t="s">
        <v>70</v>
      </c>
      <c r="H190" s="14">
        <v>13</v>
      </c>
      <c r="I190" s="2">
        <v>970</v>
      </c>
      <c r="J190" s="3">
        <v>15</v>
      </c>
      <c r="K190" s="2">
        <v>10718.5</v>
      </c>
      <c r="L190" s="2">
        <v>8896</v>
      </c>
      <c r="M190" s="2">
        <v>1822.5</v>
      </c>
      <c r="N190" s="14" t="s">
        <v>44</v>
      </c>
      <c r="O190" s="14">
        <v>5</v>
      </c>
      <c r="V190" s="2"/>
    </row>
    <row r="191" spans="1:22">
      <c r="A191">
        <v>10201</v>
      </c>
      <c r="B191" s="7" t="s">
        <v>284</v>
      </c>
      <c r="C191" s="14" t="s">
        <v>111</v>
      </c>
      <c r="D191" s="14" t="s">
        <v>42</v>
      </c>
      <c r="E191" s="14" t="s">
        <v>56</v>
      </c>
      <c r="F191" s="14" t="s">
        <v>150</v>
      </c>
      <c r="G191" s="14" t="s">
        <v>63</v>
      </c>
      <c r="H191" s="14">
        <v>10</v>
      </c>
      <c r="I191" s="2">
        <v>1550</v>
      </c>
      <c r="J191" s="3">
        <v>20</v>
      </c>
      <c r="K191" s="2">
        <v>12400</v>
      </c>
      <c r="L191" s="2">
        <v>10044</v>
      </c>
      <c r="M191" s="2">
        <v>2356</v>
      </c>
      <c r="N191" s="14" t="s">
        <v>38</v>
      </c>
      <c r="O191" s="14">
        <v>3</v>
      </c>
      <c r="V191" s="2"/>
    </row>
    <row r="192" spans="1:22">
      <c r="A192">
        <v>10202</v>
      </c>
      <c r="B192" s="7" t="s">
        <v>292</v>
      </c>
      <c r="C192" s="14" t="s">
        <v>111</v>
      </c>
      <c r="D192" s="14" t="s">
        <v>45</v>
      </c>
      <c r="E192" s="14" t="s">
        <v>56</v>
      </c>
      <c r="F192" s="14" t="s">
        <v>49</v>
      </c>
      <c r="G192" s="14" t="s">
        <v>70</v>
      </c>
      <c r="H192" s="14">
        <v>8</v>
      </c>
      <c r="I192" s="2">
        <v>1070</v>
      </c>
      <c r="J192" s="3">
        <v>5</v>
      </c>
      <c r="K192" s="2">
        <v>8132</v>
      </c>
      <c r="L192" s="2">
        <v>4879</v>
      </c>
      <c r="M192" s="2">
        <v>3253</v>
      </c>
      <c r="N192" s="14" t="s">
        <v>47</v>
      </c>
      <c r="O192" s="14">
        <v>1</v>
      </c>
      <c r="V192" s="2"/>
    </row>
    <row r="193" spans="1:22">
      <c r="A193">
        <v>10203</v>
      </c>
      <c r="B193" s="7" t="s">
        <v>293</v>
      </c>
      <c r="C193" s="14" t="s">
        <v>147</v>
      </c>
      <c r="D193" s="14" t="s">
        <v>36</v>
      </c>
      <c r="E193" s="14" t="s">
        <v>56</v>
      </c>
      <c r="F193" s="14" t="s">
        <v>49</v>
      </c>
      <c r="G193" s="14" t="s">
        <v>68</v>
      </c>
      <c r="H193" s="14">
        <v>4</v>
      </c>
      <c r="I193" s="2">
        <v>1920</v>
      </c>
      <c r="J193" s="3">
        <v>10</v>
      </c>
      <c r="K193" s="2">
        <v>6912</v>
      </c>
      <c r="L193" s="2">
        <v>5253</v>
      </c>
      <c r="M193" s="2">
        <v>1659</v>
      </c>
      <c r="N193" s="14" t="s">
        <v>38</v>
      </c>
      <c r="O193" s="14">
        <v>2</v>
      </c>
      <c r="V193" s="2"/>
    </row>
    <row r="194" spans="1:22">
      <c r="A194">
        <v>10204</v>
      </c>
      <c r="B194" s="7" t="s">
        <v>171</v>
      </c>
      <c r="C194" s="14" t="s">
        <v>135</v>
      </c>
      <c r="D194" s="14" t="s">
        <v>36</v>
      </c>
      <c r="E194" s="14" t="s">
        <v>58</v>
      </c>
      <c r="F194" s="14" t="s">
        <v>55</v>
      </c>
      <c r="G194" s="14" t="s">
        <v>64</v>
      </c>
      <c r="H194" s="14">
        <v>8</v>
      </c>
      <c r="I194" s="2">
        <v>440</v>
      </c>
      <c r="J194" s="3">
        <v>15</v>
      </c>
      <c r="K194" s="2">
        <v>2992</v>
      </c>
      <c r="L194" s="2">
        <v>1974</v>
      </c>
      <c r="M194" s="2">
        <v>1018</v>
      </c>
      <c r="N194" s="14" t="s">
        <v>38</v>
      </c>
      <c r="O194" s="14">
        <v>2</v>
      </c>
      <c r="V194" s="2"/>
    </row>
    <row r="195" spans="1:22">
      <c r="A195">
        <v>10205</v>
      </c>
      <c r="B195" s="7" t="s">
        <v>71</v>
      </c>
      <c r="C195" s="14" t="s">
        <v>116</v>
      </c>
      <c r="D195" s="14" t="s">
        <v>42</v>
      </c>
      <c r="E195" s="14" t="s">
        <v>61</v>
      </c>
      <c r="F195" s="14" t="s">
        <v>51</v>
      </c>
      <c r="G195" s="14" t="s">
        <v>64</v>
      </c>
      <c r="H195" s="14">
        <v>15</v>
      </c>
      <c r="I195" s="2">
        <v>630</v>
      </c>
      <c r="J195" s="3">
        <v>0</v>
      </c>
      <c r="K195" s="2">
        <v>9450</v>
      </c>
      <c r="L195" s="2">
        <v>6898</v>
      </c>
      <c r="M195" s="2">
        <v>2552</v>
      </c>
      <c r="N195" s="14" t="s">
        <v>38</v>
      </c>
      <c r="O195" s="14">
        <v>4</v>
      </c>
      <c r="V195" s="2"/>
    </row>
    <row r="196" spans="1:22">
      <c r="A196">
        <v>10206</v>
      </c>
      <c r="B196" s="7" t="s">
        <v>294</v>
      </c>
      <c r="C196" s="14" t="s">
        <v>130</v>
      </c>
      <c r="D196" s="14" t="s">
        <v>45</v>
      </c>
      <c r="E196" s="14" t="s">
        <v>56</v>
      </c>
      <c r="F196" s="14" t="s">
        <v>150</v>
      </c>
      <c r="G196" s="14" t="s">
        <v>68</v>
      </c>
      <c r="H196" s="14">
        <v>5</v>
      </c>
      <c r="I196" s="2">
        <v>1120</v>
      </c>
      <c r="J196" s="3">
        <v>10</v>
      </c>
      <c r="K196" s="2">
        <v>5040</v>
      </c>
      <c r="L196" s="2">
        <v>3225</v>
      </c>
      <c r="M196" s="2">
        <v>1815</v>
      </c>
      <c r="N196" s="14" t="s">
        <v>38</v>
      </c>
      <c r="O196" s="14">
        <v>2</v>
      </c>
      <c r="V196" s="2"/>
    </row>
    <row r="197" spans="1:22">
      <c r="A197">
        <v>10207</v>
      </c>
      <c r="B197" s="7" t="s">
        <v>295</v>
      </c>
      <c r="C197" s="14" t="s">
        <v>128</v>
      </c>
      <c r="D197" s="14" t="s">
        <v>36</v>
      </c>
      <c r="E197" s="14" t="s">
        <v>58</v>
      </c>
      <c r="F197" s="14" t="s">
        <v>55</v>
      </c>
      <c r="G197" s="14" t="s">
        <v>68</v>
      </c>
      <c r="H197" s="14">
        <v>14</v>
      </c>
      <c r="I197" s="2">
        <v>1730</v>
      </c>
      <c r="J197" s="3">
        <v>5</v>
      </c>
      <c r="K197" s="2">
        <v>23009</v>
      </c>
      <c r="L197" s="2">
        <v>13345</v>
      </c>
      <c r="M197" s="2">
        <v>9664</v>
      </c>
      <c r="N197" s="14" t="s">
        <v>47</v>
      </c>
      <c r="O197" s="14">
        <v>4</v>
      </c>
      <c r="V197" s="2"/>
    </row>
    <row r="198" spans="1:22">
      <c r="A198">
        <v>10209</v>
      </c>
      <c r="B198" s="7" t="s">
        <v>296</v>
      </c>
      <c r="C198" s="14" t="s">
        <v>116</v>
      </c>
      <c r="D198" s="14" t="s">
        <v>42</v>
      </c>
      <c r="E198" s="14" t="s">
        <v>61</v>
      </c>
      <c r="F198" s="14" t="s">
        <v>52</v>
      </c>
      <c r="G198" s="14" t="s">
        <v>70</v>
      </c>
      <c r="H198" s="14">
        <v>7</v>
      </c>
      <c r="I198" s="2">
        <v>400</v>
      </c>
      <c r="J198" s="3">
        <v>10</v>
      </c>
      <c r="K198" s="2">
        <v>2520</v>
      </c>
      <c r="L198" s="2">
        <v>1738</v>
      </c>
      <c r="M198" s="2">
        <v>782</v>
      </c>
      <c r="N198" s="14" t="s">
        <v>47</v>
      </c>
      <c r="O198" s="14">
        <v>2</v>
      </c>
      <c r="V198" s="2"/>
    </row>
    <row r="199" spans="1:22">
      <c r="A199">
        <v>10210</v>
      </c>
      <c r="B199" s="7" t="s">
        <v>297</v>
      </c>
      <c r="C199" s="14" t="s">
        <v>128</v>
      </c>
      <c r="D199" s="14" t="s">
        <v>42</v>
      </c>
      <c r="E199" s="14" t="s">
        <v>56</v>
      </c>
      <c r="F199" s="14" t="s">
        <v>57</v>
      </c>
      <c r="G199" s="14" t="s">
        <v>68</v>
      </c>
      <c r="H199" s="14">
        <v>7</v>
      </c>
      <c r="I199" s="2">
        <v>1980</v>
      </c>
      <c r="J199" s="3">
        <v>0</v>
      </c>
      <c r="K199" s="2">
        <v>13860</v>
      </c>
      <c r="L199" s="2">
        <v>10672</v>
      </c>
      <c r="M199" s="2">
        <v>3188</v>
      </c>
      <c r="N199" s="14" t="s">
        <v>41</v>
      </c>
      <c r="O199" s="14">
        <v>5</v>
      </c>
      <c r="V199" s="2"/>
    </row>
    <row r="200" spans="1:22">
      <c r="A200">
        <v>10211</v>
      </c>
      <c r="B200" s="7" t="s">
        <v>181</v>
      </c>
      <c r="C200" s="14" t="s">
        <v>125</v>
      </c>
      <c r="D200" s="14" t="s">
        <v>36</v>
      </c>
      <c r="E200" s="14" t="s">
        <v>56</v>
      </c>
      <c r="F200" s="14" t="s">
        <v>50</v>
      </c>
      <c r="G200" s="14" t="s">
        <v>70</v>
      </c>
      <c r="H200" s="14">
        <v>4</v>
      </c>
      <c r="I200" s="2">
        <v>1330</v>
      </c>
      <c r="J200" s="3">
        <v>5</v>
      </c>
      <c r="K200" s="2">
        <v>5054</v>
      </c>
      <c r="L200" s="2">
        <v>3841</v>
      </c>
      <c r="M200" s="2">
        <v>1213</v>
      </c>
      <c r="N200" s="14" t="s">
        <v>47</v>
      </c>
      <c r="O200" s="14">
        <v>4</v>
      </c>
      <c r="V200" s="2"/>
    </row>
    <row r="201" spans="1:22">
      <c r="A201">
        <v>10212</v>
      </c>
      <c r="B201" s="7" t="s">
        <v>298</v>
      </c>
      <c r="C201" s="14" t="s">
        <v>130</v>
      </c>
      <c r="D201" s="14" t="s">
        <v>39</v>
      </c>
      <c r="E201" s="14" t="s">
        <v>56</v>
      </c>
      <c r="F201" s="14" t="s">
        <v>57</v>
      </c>
      <c r="G201" s="14" t="s">
        <v>72</v>
      </c>
      <c r="H201" s="14">
        <v>3</v>
      </c>
      <c r="I201" s="2">
        <v>1480</v>
      </c>
      <c r="J201" s="3">
        <v>0</v>
      </c>
      <c r="K201" s="2">
        <v>4440</v>
      </c>
      <c r="L201" s="2">
        <v>3196</v>
      </c>
      <c r="M201" s="2">
        <v>1244</v>
      </c>
      <c r="N201" s="14" t="s">
        <v>38</v>
      </c>
      <c r="O201" s="14">
        <v>1</v>
      </c>
      <c r="V201" s="2"/>
    </row>
    <row r="202" spans="1:22">
      <c r="A202">
        <v>10213</v>
      </c>
      <c r="B202" s="7" t="s">
        <v>299</v>
      </c>
      <c r="C202" s="14" t="s">
        <v>128</v>
      </c>
      <c r="D202" s="14" t="s">
        <v>45</v>
      </c>
      <c r="E202" s="14" t="s">
        <v>56</v>
      </c>
      <c r="F202" s="14" t="s">
        <v>49</v>
      </c>
      <c r="G202" s="14" t="s">
        <v>74</v>
      </c>
      <c r="H202" s="14">
        <v>2</v>
      </c>
      <c r="I202" s="2">
        <v>300</v>
      </c>
      <c r="J202" s="3">
        <v>10</v>
      </c>
      <c r="K202" s="2">
        <v>540</v>
      </c>
      <c r="L202" s="2">
        <v>459</v>
      </c>
      <c r="M202" s="2">
        <v>81</v>
      </c>
      <c r="N202" s="14" t="s">
        <v>41</v>
      </c>
      <c r="O202" s="14">
        <v>1</v>
      </c>
      <c r="V202" s="2"/>
    </row>
    <row r="203" spans="1:22">
      <c r="A203">
        <v>10214</v>
      </c>
      <c r="B203" s="7" t="s">
        <v>300</v>
      </c>
      <c r="C203" s="14" t="s">
        <v>147</v>
      </c>
      <c r="D203" s="14" t="s">
        <v>45</v>
      </c>
      <c r="E203" s="14" t="s">
        <v>61</v>
      </c>
      <c r="F203" s="14" t="s">
        <v>46</v>
      </c>
      <c r="G203" s="14" t="s">
        <v>68</v>
      </c>
      <c r="H203" s="14">
        <v>6</v>
      </c>
      <c r="I203" s="2">
        <v>1530</v>
      </c>
      <c r="J203" s="3">
        <v>5</v>
      </c>
      <c r="K203" s="2">
        <v>8721</v>
      </c>
      <c r="L203" s="2">
        <v>5668</v>
      </c>
      <c r="M203" s="2">
        <v>3053</v>
      </c>
      <c r="N203" s="14" t="s">
        <v>44</v>
      </c>
      <c r="O203" s="14">
        <v>3</v>
      </c>
      <c r="V203" s="2"/>
    </row>
    <row r="204" spans="1:22">
      <c r="A204">
        <v>10215</v>
      </c>
      <c r="B204" s="7" t="s">
        <v>301</v>
      </c>
      <c r="C204" s="14" t="s">
        <v>147</v>
      </c>
      <c r="D204" s="14" t="s">
        <v>45</v>
      </c>
      <c r="E204" s="14" t="s">
        <v>56</v>
      </c>
      <c r="F204" s="14" t="s">
        <v>50</v>
      </c>
      <c r="G204" s="14" t="s">
        <v>72</v>
      </c>
      <c r="H204" s="14">
        <v>14</v>
      </c>
      <c r="I204" s="2">
        <v>1980</v>
      </c>
      <c r="J204" s="3">
        <v>5</v>
      </c>
      <c r="K204" s="2">
        <v>26334</v>
      </c>
      <c r="L204" s="2">
        <v>14483</v>
      </c>
      <c r="M204" s="2">
        <v>11851</v>
      </c>
      <c r="N204" s="14" t="s">
        <v>41</v>
      </c>
      <c r="O204" s="14">
        <v>5</v>
      </c>
      <c r="V204" s="2"/>
    </row>
    <row r="205" spans="1:22">
      <c r="A205">
        <v>10216</v>
      </c>
      <c r="B205" s="7" t="s">
        <v>190</v>
      </c>
      <c r="C205" s="14" t="s">
        <v>128</v>
      </c>
      <c r="D205" s="14" t="s">
        <v>42</v>
      </c>
      <c r="E205" s="14" t="s">
        <v>56</v>
      </c>
      <c r="F205" s="14" t="s">
        <v>57</v>
      </c>
      <c r="G205" s="14" t="s">
        <v>70</v>
      </c>
      <c r="H205" s="14">
        <v>14</v>
      </c>
      <c r="I205" s="2">
        <v>1070</v>
      </c>
      <c r="J205" s="3">
        <v>0</v>
      </c>
      <c r="K205" s="2">
        <v>14980</v>
      </c>
      <c r="L205" s="2">
        <v>10336</v>
      </c>
      <c r="M205" s="2">
        <v>4644</v>
      </c>
      <c r="N205" s="14" t="s">
        <v>47</v>
      </c>
      <c r="O205" s="14">
        <v>1</v>
      </c>
      <c r="V205" s="2"/>
    </row>
    <row r="206" spans="1:22">
      <c r="A206">
        <v>10217</v>
      </c>
      <c r="B206" s="7" t="s">
        <v>284</v>
      </c>
      <c r="C206" s="14" t="s">
        <v>130</v>
      </c>
      <c r="D206" s="14" t="s">
        <v>36</v>
      </c>
      <c r="E206" s="14" t="s">
        <v>58</v>
      </c>
      <c r="F206" s="14" t="s">
        <v>43</v>
      </c>
      <c r="G206" s="14" t="s">
        <v>66</v>
      </c>
      <c r="H206" s="14">
        <v>10</v>
      </c>
      <c r="I206" s="2">
        <v>1970</v>
      </c>
      <c r="J206" s="3">
        <v>0</v>
      </c>
      <c r="K206" s="2">
        <v>19700</v>
      </c>
      <c r="L206" s="2">
        <v>14381</v>
      </c>
      <c r="M206" s="2">
        <v>5319</v>
      </c>
      <c r="N206" s="14" t="s">
        <v>38</v>
      </c>
      <c r="O206" s="14">
        <v>4</v>
      </c>
      <c r="V206" s="2"/>
    </row>
    <row r="207" spans="1:22">
      <c r="A207">
        <v>10218</v>
      </c>
      <c r="B207" s="7" t="s">
        <v>302</v>
      </c>
      <c r="C207" s="14" t="s">
        <v>120</v>
      </c>
      <c r="D207" s="14" t="s">
        <v>36</v>
      </c>
      <c r="E207" s="14" t="s">
        <v>61</v>
      </c>
      <c r="F207" s="14" t="s">
        <v>51</v>
      </c>
      <c r="G207" s="14" t="s">
        <v>64</v>
      </c>
      <c r="H207" s="14">
        <v>2</v>
      </c>
      <c r="I207" s="2">
        <v>1810</v>
      </c>
      <c r="J207" s="3">
        <v>15</v>
      </c>
      <c r="K207" s="2">
        <v>3077</v>
      </c>
      <c r="L207" s="2">
        <v>2184</v>
      </c>
      <c r="M207" s="2">
        <v>893</v>
      </c>
      <c r="N207" s="14" t="s">
        <v>44</v>
      </c>
      <c r="O207" s="14">
        <v>2</v>
      </c>
      <c r="V207" s="2"/>
    </row>
    <row r="208" spans="1:22">
      <c r="A208">
        <v>10219</v>
      </c>
      <c r="B208" s="7" t="s">
        <v>303</v>
      </c>
      <c r="C208" s="14" t="s">
        <v>125</v>
      </c>
      <c r="D208" s="14" t="s">
        <v>42</v>
      </c>
      <c r="E208" s="14" t="s">
        <v>61</v>
      </c>
      <c r="F208" s="14" t="s">
        <v>143</v>
      </c>
      <c r="G208" s="14" t="s">
        <v>63</v>
      </c>
      <c r="H208" s="14">
        <v>11</v>
      </c>
      <c r="I208" s="2">
        <v>690</v>
      </c>
      <c r="J208" s="3">
        <v>15</v>
      </c>
      <c r="K208" s="2">
        <v>6451.5</v>
      </c>
      <c r="L208" s="2">
        <v>4774</v>
      </c>
      <c r="M208" s="2">
        <v>1677.5</v>
      </c>
      <c r="N208" s="14" t="s">
        <v>47</v>
      </c>
      <c r="O208" s="14">
        <v>1</v>
      </c>
      <c r="V208" s="2"/>
    </row>
    <row r="209" spans="1:22">
      <c r="A209">
        <v>10220</v>
      </c>
      <c r="B209" s="7" t="s">
        <v>124</v>
      </c>
      <c r="C209" s="14" t="s">
        <v>137</v>
      </c>
      <c r="D209" s="14" t="s">
        <v>45</v>
      </c>
      <c r="E209" s="14" t="s">
        <v>56</v>
      </c>
      <c r="F209" s="14" t="s">
        <v>50</v>
      </c>
      <c r="G209" s="14" t="s">
        <v>66</v>
      </c>
      <c r="H209" s="14">
        <v>8</v>
      </c>
      <c r="I209" s="2">
        <v>1760</v>
      </c>
      <c r="J209" s="3">
        <v>0</v>
      </c>
      <c r="K209" s="2">
        <v>14080</v>
      </c>
      <c r="L209" s="2">
        <v>11545</v>
      </c>
      <c r="M209" s="2">
        <v>2535</v>
      </c>
      <c r="N209" s="14" t="s">
        <v>41</v>
      </c>
      <c r="O209" s="14">
        <v>1</v>
      </c>
      <c r="V209" s="2"/>
    </row>
    <row r="210" spans="1:22">
      <c r="A210">
        <v>10221</v>
      </c>
      <c r="B210" s="7" t="s">
        <v>304</v>
      </c>
      <c r="C210" s="14" t="s">
        <v>135</v>
      </c>
      <c r="D210" s="14" t="s">
        <v>39</v>
      </c>
      <c r="E210" s="14" t="s">
        <v>56</v>
      </c>
      <c r="F210" s="14" t="s">
        <v>50</v>
      </c>
      <c r="G210" s="14" t="s">
        <v>72</v>
      </c>
      <c r="H210" s="14">
        <v>6</v>
      </c>
      <c r="I210" s="2">
        <v>1590</v>
      </c>
      <c r="J210" s="3">
        <v>5</v>
      </c>
      <c r="K210" s="2">
        <v>9063</v>
      </c>
      <c r="L210" s="2">
        <v>7250</v>
      </c>
      <c r="M210" s="2">
        <v>1813</v>
      </c>
      <c r="N210" s="14" t="s">
        <v>44</v>
      </c>
      <c r="O210" s="14">
        <v>3</v>
      </c>
      <c r="V210" s="2"/>
    </row>
    <row r="211" spans="1:22">
      <c r="A211">
        <v>10222</v>
      </c>
      <c r="B211" s="7" t="s">
        <v>305</v>
      </c>
      <c r="C211" s="14" t="s">
        <v>135</v>
      </c>
      <c r="D211" s="14" t="s">
        <v>45</v>
      </c>
      <c r="E211" s="14" t="s">
        <v>61</v>
      </c>
      <c r="F211" s="14" t="s">
        <v>46</v>
      </c>
      <c r="G211" s="14" t="s">
        <v>64</v>
      </c>
      <c r="H211" s="14">
        <v>8</v>
      </c>
      <c r="I211" s="2">
        <v>350</v>
      </c>
      <c r="J211" s="3">
        <v>10</v>
      </c>
      <c r="K211" s="2">
        <v>2520</v>
      </c>
      <c r="L211" s="2">
        <v>1537</v>
      </c>
      <c r="M211" s="2">
        <v>983</v>
      </c>
      <c r="N211" s="14" t="s">
        <v>47</v>
      </c>
      <c r="O211" s="14">
        <v>5</v>
      </c>
      <c r="V211" s="2"/>
    </row>
    <row r="212" spans="1:22">
      <c r="A212">
        <v>10223</v>
      </c>
      <c r="B212" s="7" t="s">
        <v>306</v>
      </c>
      <c r="C212" s="14" t="s">
        <v>137</v>
      </c>
      <c r="D212" s="14" t="s">
        <v>42</v>
      </c>
      <c r="E212" s="14" t="s">
        <v>61</v>
      </c>
      <c r="F212" s="14" t="s">
        <v>143</v>
      </c>
      <c r="G212" s="14" t="s">
        <v>64</v>
      </c>
      <c r="H212" s="14">
        <v>15</v>
      </c>
      <c r="I212" s="2">
        <v>1430</v>
      </c>
      <c r="J212" s="3">
        <v>10</v>
      </c>
      <c r="K212" s="2">
        <v>19305</v>
      </c>
      <c r="L212" s="2">
        <v>14478</v>
      </c>
      <c r="M212" s="2">
        <v>4827</v>
      </c>
      <c r="N212" s="14" t="s">
        <v>44</v>
      </c>
      <c r="O212" s="14">
        <v>4</v>
      </c>
      <c r="V212" s="2"/>
    </row>
    <row r="213" spans="1:22">
      <c r="A213">
        <v>10224</v>
      </c>
      <c r="B213" s="7" t="s">
        <v>297</v>
      </c>
      <c r="C213" s="14" t="s">
        <v>141</v>
      </c>
      <c r="D213" s="14" t="s">
        <v>45</v>
      </c>
      <c r="E213" s="14" t="s">
        <v>61</v>
      </c>
      <c r="F213" s="14" t="s">
        <v>143</v>
      </c>
      <c r="G213" s="14" t="s">
        <v>70</v>
      </c>
      <c r="H213" s="14">
        <v>10</v>
      </c>
      <c r="I213" s="2">
        <v>1490</v>
      </c>
      <c r="J213" s="3">
        <v>10</v>
      </c>
      <c r="K213" s="2">
        <v>13410</v>
      </c>
      <c r="L213" s="2">
        <v>9521</v>
      </c>
      <c r="M213" s="2">
        <v>3889</v>
      </c>
      <c r="N213" s="14" t="s">
        <v>38</v>
      </c>
      <c r="O213" s="14">
        <v>4</v>
      </c>
      <c r="V213" s="2"/>
    </row>
    <row r="214" spans="1:22">
      <c r="A214">
        <v>10225</v>
      </c>
      <c r="B214" s="7" t="s">
        <v>284</v>
      </c>
      <c r="C214" s="14" t="s">
        <v>111</v>
      </c>
      <c r="D214" s="14" t="s">
        <v>36</v>
      </c>
      <c r="E214" s="14" t="s">
        <v>56</v>
      </c>
      <c r="F214" s="14" t="s">
        <v>131</v>
      </c>
      <c r="G214" s="14" t="s">
        <v>66</v>
      </c>
      <c r="H214" s="14">
        <v>5</v>
      </c>
      <c r="I214" s="2">
        <v>910</v>
      </c>
      <c r="J214" s="3">
        <v>15</v>
      </c>
      <c r="K214" s="2">
        <v>3867.5</v>
      </c>
      <c r="L214" s="2">
        <v>2320</v>
      </c>
      <c r="M214" s="2">
        <v>1547.5</v>
      </c>
      <c r="N214" s="14" t="s">
        <v>47</v>
      </c>
      <c r="O214" s="14">
        <v>3</v>
      </c>
      <c r="V214" s="2"/>
    </row>
    <row r="215" spans="1:22">
      <c r="A215">
        <v>10226</v>
      </c>
      <c r="B215" s="7" t="s">
        <v>307</v>
      </c>
      <c r="C215" s="14" t="s">
        <v>135</v>
      </c>
      <c r="D215" s="14" t="s">
        <v>42</v>
      </c>
      <c r="E215" s="14" t="s">
        <v>56</v>
      </c>
      <c r="F215" s="14" t="s">
        <v>131</v>
      </c>
      <c r="G215" s="14" t="s">
        <v>66</v>
      </c>
      <c r="H215" s="14">
        <v>1</v>
      </c>
      <c r="I215" s="2">
        <v>1270</v>
      </c>
      <c r="J215" s="3">
        <v>10</v>
      </c>
      <c r="K215" s="2">
        <v>1143</v>
      </c>
      <c r="L215" s="2">
        <v>948</v>
      </c>
      <c r="M215" s="2">
        <v>195</v>
      </c>
      <c r="N215" s="14" t="s">
        <v>41</v>
      </c>
      <c r="O215" s="14">
        <v>3</v>
      </c>
      <c r="V215" s="2"/>
    </row>
    <row r="216" spans="1:22">
      <c r="A216">
        <v>10227</v>
      </c>
      <c r="B216" s="7" t="s">
        <v>308</v>
      </c>
      <c r="C216" s="14" t="s">
        <v>125</v>
      </c>
      <c r="D216" s="14" t="s">
        <v>36</v>
      </c>
      <c r="E216" s="14" t="s">
        <v>58</v>
      </c>
      <c r="F216" s="14" t="s">
        <v>43</v>
      </c>
      <c r="G216" s="14" t="s">
        <v>70</v>
      </c>
      <c r="H216" s="14">
        <v>14</v>
      </c>
      <c r="I216" s="2">
        <v>830</v>
      </c>
      <c r="J216" s="3">
        <v>5</v>
      </c>
      <c r="K216" s="2">
        <v>11039</v>
      </c>
      <c r="L216" s="2">
        <v>7064</v>
      </c>
      <c r="M216" s="2">
        <v>3975</v>
      </c>
      <c r="N216" s="14" t="s">
        <v>44</v>
      </c>
      <c r="O216" s="14">
        <v>3</v>
      </c>
      <c r="V216" s="2"/>
    </row>
    <row r="217" spans="1:22">
      <c r="A217">
        <v>10228</v>
      </c>
      <c r="B217" s="7" t="s">
        <v>246</v>
      </c>
      <c r="C217" s="14" t="s">
        <v>125</v>
      </c>
      <c r="D217" s="14" t="s">
        <v>39</v>
      </c>
      <c r="E217" s="14" t="s">
        <v>56</v>
      </c>
      <c r="F217" s="14" t="s">
        <v>150</v>
      </c>
      <c r="G217" s="14" t="s">
        <v>70</v>
      </c>
      <c r="H217" s="14">
        <v>12</v>
      </c>
      <c r="I217" s="2">
        <v>420</v>
      </c>
      <c r="J217" s="3">
        <v>5</v>
      </c>
      <c r="K217" s="2">
        <v>4788</v>
      </c>
      <c r="L217" s="2">
        <v>3878</v>
      </c>
      <c r="M217" s="2">
        <v>910</v>
      </c>
      <c r="N217" s="14" t="s">
        <v>44</v>
      </c>
      <c r="O217" s="14">
        <v>3</v>
      </c>
      <c r="V217" s="2"/>
    </row>
    <row r="218" spans="1:22">
      <c r="A218">
        <v>10230</v>
      </c>
      <c r="B218" s="7" t="s">
        <v>295</v>
      </c>
      <c r="C218" s="14" t="s">
        <v>128</v>
      </c>
      <c r="D218" s="14" t="s">
        <v>39</v>
      </c>
      <c r="E218" s="14" t="s">
        <v>61</v>
      </c>
      <c r="F218" s="14" t="s">
        <v>52</v>
      </c>
      <c r="G218" s="14" t="s">
        <v>66</v>
      </c>
      <c r="H218" s="14">
        <v>9</v>
      </c>
      <c r="I218" s="2">
        <v>320</v>
      </c>
      <c r="J218" s="3">
        <v>15</v>
      </c>
      <c r="K218" s="2">
        <v>2448</v>
      </c>
      <c r="L218" s="2">
        <v>2080</v>
      </c>
      <c r="M218" s="2">
        <v>368</v>
      </c>
      <c r="N218" s="14" t="s">
        <v>44</v>
      </c>
      <c r="O218" s="14">
        <v>2</v>
      </c>
      <c r="V218" s="2"/>
    </row>
    <row r="219" spans="1:22">
      <c r="A219">
        <v>10231</v>
      </c>
      <c r="B219" s="7" t="s">
        <v>309</v>
      </c>
      <c r="C219" s="14" t="s">
        <v>147</v>
      </c>
      <c r="D219" s="14" t="s">
        <v>42</v>
      </c>
      <c r="E219" s="14" t="s">
        <v>61</v>
      </c>
      <c r="F219" s="14" t="s">
        <v>51</v>
      </c>
      <c r="G219" s="14" t="s">
        <v>72</v>
      </c>
      <c r="H219" s="14">
        <v>7</v>
      </c>
      <c r="I219" s="2">
        <v>410</v>
      </c>
      <c r="J219" s="3">
        <v>15</v>
      </c>
      <c r="K219" s="2">
        <v>2439.5</v>
      </c>
      <c r="L219" s="2">
        <v>1780</v>
      </c>
      <c r="M219" s="2">
        <v>659.5</v>
      </c>
      <c r="N219" s="14" t="s">
        <v>38</v>
      </c>
      <c r="O219" s="14">
        <v>2</v>
      </c>
      <c r="V219" s="2"/>
    </row>
    <row r="220" spans="1:22">
      <c r="A220">
        <v>10232</v>
      </c>
      <c r="B220" s="7" t="s">
        <v>310</v>
      </c>
      <c r="C220" s="14" t="s">
        <v>141</v>
      </c>
      <c r="D220" s="14" t="s">
        <v>36</v>
      </c>
      <c r="E220" s="14" t="s">
        <v>56</v>
      </c>
      <c r="F220" s="14" t="s">
        <v>131</v>
      </c>
      <c r="G220" s="14" t="s">
        <v>72</v>
      </c>
      <c r="H220" s="14">
        <v>2</v>
      </c>
      <c r="I220" s="2">
        <v>920</v>
      </c>
      <c r="J220" s="3">
        <v>5</v>
      </c>
      <c r="K220" s="2">
        <v>1748</v>
      </c>
      <c r="L220" s="2">
        <v>978</v>
      </c>
      <c r="M220" s="2">
        <v>770</v>
      </c>
      <c r="N220" s="14" t="s">
        <v>38</v>
      </c>
      <c r="O220" s="14">
        <v>4</v>
      </c>
      <c r="V220" s="2"/>
    </row>
    <row r="221" spans="1:22">
      <c r="A221">
        <v>10233</v>
      </c>
      <c r="B221" s="7" t="s">
        <v>167</v>
      </c>
      <c r="C221" s="14" t="s">
        <v>125</v>
      </c>
      <c r="D221" s="14" t="s">
        <v>39</v>
      </c>
      <c r="E221" s="14" t="s">
        <v>58</v>
      </c>
      <c r="F221" s="14" t="s">
        <v>55</v>
      </c>
      <c r="G221" s="14" t="s">
        <v>63</v>
      </c>
      <c r="H221" s="14">
        <v>1</v>
      </c>
      <c r="I221" s="2">
        <v>550</v>
      </c>
      <c r="J221" s="3">
        <v>5</v>
      </c>
      <c r="K221" s="2">
        <v>522.5</v>
      </c>
      <c r="L221" s="2">
        <v>350</v>
      </c>
      <c r="M221" s="2">
        <v>172.5</v>
      </c>
      <c r="N221" s="14" t="s">
        <v>41</v>
      </c>
      <c r="O221" s="14">
        <v>4</v>
      </c>
      <c r="V221" s="2"/>
    </row>
    <row r="222" spans="1:22">
      <c r="A222">
        <v>10234</v>
      </c>
      <c r="B222" s="7" t="s">
        <v>185</v>
      </c>
      <c r="C222" s="14" t="s">
        <v>116</v>
      </c>
      <c r="D222" s="14" t="s">
        <v>36</v>
      </c>
      <c r="E222" s="14" t="s">
        <v>58</v>
      </c>
      <c r="F222" s="14" t="s">
        <v>55</v>
      </c>
      <c r="G222" s="14" t="s">
        <v>70</v>
      </c>
      <c r="H222" s="14">
        <v>3</v>
      </c>
      <c r="I222" s="2">
        <v>1730</v>
      </c>
      <c r="J222" s="3">
        <v>0</v>
      </c>
      <c r="K222" s="2">
        <v>5190</v>
      </c>
      <c r="L222" s="2">
        <v>3321</v>
      </c>
      <c r="M222" s="2">
        <v>1869</v>
      </c>
      <c r="N222" s="14" t="s">
        <v>47</v>
      </c>
      <c r="O222" s="14">
        <v>5</v>
      </c>
      <c r="V222" s="2"/>
    </row>
    <row r="223" spans="1:22">
      <c r="A223">
        <v>10235</v>
      </c>
      <c r="B223" s="7" t="s">
        <v>311</v>
      </c>
      <c r="C223" s="14" t="s">
        <v>116</v>
      </c>
      <c r="D223" s="14" t="s">
        <v>36</v>
      </c>
      <c r="E223" s="14" t="s">
        <v>61</v>
      </c>
      <c r="F223" s="14" t="s">
        <v>117</v>
      </c>
      <c r="G223" s="14" t="s">
        <v>74</v>
      </c>
      <c r="H223" s="14">
        <v>5</v>
      </c>
      <c r="I223" s="2">
        <v>780</v>
      </c>
      <c r="J223" s="3">
        <v>20</v>
      </c>
      <c r="K223" s="2">
        <v>3120</v>
      </c>
      <c r="L223" s="2">
        <v>2246</v>
      </c>
      <c r="M223" s="2">
        <v>874</v>
      </c>
      <c r="N223" s="14" t="s">
        <v>44</v>
      </c>
      <c r="O223" s="14">
        <v>5</v>
      </c>
      <c r="V223" s="2"/>
    </row>
    <row r="224" spans="1:22">
      <c r="A224">
        <v>10236</v>
      </c>
      <c r="B224" s="7" t="s">
        <v>312</v>
      </c>
      <c r="C224" s="14" t="s">
        <v>130</v>
      </c>
      <c r="D224" s="14" t="s">
        <v>45</v>
      </c>
      <c r="E224" s="14" t="s">
        <v>61</v>
      </c>
      <c r="F224" s="14" t="s">
        <v>52</v>
      </c>
      <c r="G224" s="14" t="s">
        <v>68</v>
      </c>
      <c r="H224" s="14">
        <v>5</v>
      </c>
      <c r="I224" s="2">
        <v>1440</v>
      </c>
      <c r="J224" s="3">
        <v>15</v>
      </c>
      <c r="K224" s="2">
        <v>6120</v>
      </c>
      <c r="L224" s="2">
        <v>3733</v>
      </c>
      <c r="M224" s="2">
        <v>2387</v>
      </c>
      <c r="N224" s="14" t="s">
        <v>47</v>
      </c>
      <c r="O224" s="14">
        <v>2</v>
      </c>
      <c r="V224" s="2"/>
    </row>
    <row r="225" spans="1:22">
      <c r="A225">
        <v>10237</v>
      </c>
      <c r="B225" s="7" t="s">
        <v>313</v>
      </c>
      <c r="C225" s="14" t="s">
        <v>111</v>
      </c>
      <c r="D225" s="14" t="s">
        <v>39</v>
      </c>
      <c r="E225" s="14" t="s">
        <v>61</v>
      </c>
      <c r="F225" s="14" t="s">
        <v>51</v>
      </c>
      <c r="G225" s="14" t="s">
        <v>66</v>
      </c>
      <c r="H225" s="14">
        <v>5</v>
      </c>
      <c r="I225" s="2">
        <v>660</v>
      </c>
      <c r="J225" s="3">
        <v>0</v>
      </c>
      <c r="K225" s="2">
        <v>3300</v>
      </c>
      <c r="L225" s="2">
        <v>2541</v>
      </c>
      <c r="M225" s="2">
        <v>759</v>
      </c>
      <c r="N225" s="14" t="s">
        <v>44</v>
      </c>
      <c r="O225" s="14">
        <v>5</v>
      </c>
      <c r="V225" s="2"/>
    </row>
    <row r="226" spans="1:22">
      <c r="A226">
        <v>10238</v>
      </c>
      <c r="B226" s="7" t="s">
        <v>314</v>
      </c>
      <c r="C226" s="14" t="s">
        <v>147</v>
      </c>
      <c r="D226" s="14" t="s">
        <v>45</v>
      </c>
      <c r="E226" s="14" t="s">
        <v>58</v>
      </c>
      <c r="F226" s="14" t="s">
        <v>37</v>
      </c>
      <c r="G226" s="14" t="s">
        <v>66</v>
      </c>
      <c r="H226" s="14">
        <v>8</v>
      </c>
      <c r="I226" s="2">
        <v>1020</v>
      </c>
      <c r="J226" s="3">
        <v>15</v>
      </c>
      <c r="K226" s="2">
        <v>6936</v>
      </c>
      <c r="L226" s="2">
        <v>4924</v>
      </c>
      <c r="M226" s="2">
        <v>2012</v>
      </c>
      <c r="N226" s="14" t="s">
        <v>38</v>
      </c>
      <c r="O226" s="14">
        <v>4</v>
      </c>
      <c r="V226" s="2"/>
    </row>
    <row r="227" spans="1:22">
      <c r="A227">
        <v>10239</v>
      </c>
      <c r="B227" s="7" t="s">
        <v>315</v>
      </c>
      <c r="C227" s="14" t="s">
        <v>128</v>
      </c>
      <c r="D227" s="14" t="s">
        <v>36</v>
      </c>
      <c r="E227" s="14" t="s">
        <v>61</v>
      </c>
      <c r="F227" s="14" t="s">
        <v>52</v>
      </c>
      <c r="G227" s="14" t="s">
        <v>70</v>
      </c>
      <c r="H227" s="14">
        <v>12</v>
      </c>
      <c r="I227" s="2">
        <v>890</v>
      </c>
      <c r="J227" s="3">
        <v>0</v>
      </c>
      <c r="K227" s="2">
        <v>10680</v>
      </c>
      <c r="L227" s="2">
        <v>6194</v>
      </c>
      <c r="M227" s="2">
        <v>4486</v>
      </c>
      <c r="N227" s="14" t="s">
        <v>41</v>
      </c>
      <c r="O227" s="14">
        <v>2</v>
      </c>
      <c r="V227" s="2"/>
    </row>
    <row r="228" spans="1:22">
      <c r="A228">
        <v>10240</v>
      </c>
      <c r="B228" s="7" t="s">
        <v>229</v>
      </c>
      <c r="C228" s="14" t="s">
        <v>116</v>
      </c>
      <c r="D228" s="14" t="s">
        <v>36</v>
      </c>
      <c r="E228" s="14" t="s">
        <v>58</v>
      </c>
      <c r="F228" s="14" t="s">
        <v>37</v>
      </c>
      <c r="G228" s="14" t="s">
        <v>74</v>
      </c>
      <c r="H228" s="14">
        <v>8</v>
      </c>
      <c r="I228" s="2">
        <v>670</v>
      </c>
      <c r="J228" s="3">
        <v>15</v>
      </c>
      <c r="K228" s="2">
        <v>4556</v>
      </c>
      <c r="L228" s="2">
        <v>2915</v>
      </c>
      <c r="M228" s="2">
        <v>1641</v>
      </c>
      <c r="N228" s="14" t="s">
        <v>41</v>
      </c>
      <c r="O228" s="14">
        <v>2</v>
      </c>
      <c r="V228" s="2"/>
    </row>
    <row r="229" spans="1:22">
      <c r="A229">
        <v>10241</v>
      </c>
      <c r="B229" s="7" t="s">
        <v>316</v>
      </c>
      <c r="C229" s="14" t="s">
        <v>128</v>
      </c>
      <c r="D229" s="14" t="s">
        <v>39</v>
      </c>
      <c r="E229" s="14" t="s">
        <v>61</v>
      </c>
      <c r="F229" s="14" t="s">
        <v>52</v>
      </c>
      <c r="G229" s="14" t="s">
        <v>63</v>
      </c>
      <c r="H229" s="14">
        <v>1</v>
      </c>
      <c r="I229" s="2">
        <v>1970</v>
      </c>
      <c r="J229" s="3">
        <v>10</v>
      </c>
      <c r="K229" s="2">
        <v>1773</v>
      </c>
      <c r="L229" s="2">
        <v>1276</v>
      </c>
      <c r="M229" s="2">
        <v>497</v>
      </c>
      <c r="N229" s="14" t="s">
        <v>41</v>
      </c>
      <c r="O229" s="14">
        <v>3</v>
      </c>
      <c r="V229" s="2"/>
    </row>
    <row r="230" spans="1:22">
      <c r="A230">
        <v>10242</v>
      </c>
      <c r="B230" s="7" t="s">
        <v>317</v>
      </c>
      <c r="C230" s="14" t="s">
        <v>111</v>
      </c>
      <c r="D230" s="14" t="s">
        <v>39</v>
      </c>
      <c r="E230" s="14" t="s">
        <v>58</v>
      </c>
      <c r="F230" s="14" t="s">
        <v>40</v>
      </c>
      <c r="G230" s="14" t="s">
        <v>66</v>
      </c>
      <c r="H230" s="14">
        <v>4</v>
      </c>
      <c r="I230" s="2">
        <v>1040</v>
      </c>
      <c r="J230" s="3">
        <v>15</v>
      </c>
      <c r="K230" s="2">
        <v>3536</v>
      </c>
      <c r="L230" s="2">
        <v>2510</v>
      </c>
      <c r="M230" s="2">
        <v>1026</v>
      </c>
      <c r="N230" s="14" t="s">
        <v>47</v>
      </c>
      <c r="O230" s="14">
        <v>5</v>
      </c>
      <c r="V230" s="2"/>
    </row>
    <row r="231" spans="1:22">
      <c r="A231">
        <v>10243</v>
      </c>
      <c r="B231" s="7" t="s">
        <v>318</v>
      </c>
      <c r="C231" s="14" t="s">
        <v>111</v>
      </c>
      <c r="D231" s="14" t="s">
        <v>36</v>
      </c>
      <c r="E231" s="14" t="s">
        <v>58</v>
      </c>
      <c r="F231" s="14" t="s">
        <v>55</v>
      </c>
      <c r="G231" s="14" t="s">
        <v>72</v>
      </c>
      <c r="H231" s="14">
        <v>8</v>
      </c>
      <c r="I231" s="2">
        <v>1790</v>
      </c>
      <c r="J231" s="3">
        <v>15</v>
      </c>
      <c r="K231" s="2">
        <v>12172</v>
      </c>
      <c r="L231" s="2">
        <v>8763</v>
      </c>
      <c r="M231" s="2">
        <v>3409</v>
      </c>
      <c r="N231" s="14" t="s">
        <v>41</v>
      </c>
      <c r="O231" s="14">
        <v>1</v>
      </c>
      <c r="V231" s="2"/>
    </row>
    <row r="232" spans="1:22">
      <c r="A232">
        <v>10244</v>
      </c>
      <c r="B232" s="7" t="s">
        <v>197</v>
      </c>
      <c r="C232" s="14" t="s">
        <v>137</v>
      </c>
      <c r="D232" s="14" t="s">
        <v>42</v>
      </c>
      <c r="E232" s="14" t="s">
        <v>61</v>
      </c>
      <c r="F232" s="14" t="s">
        <v>117</v>
      </c>
      <c r="G232" s="14" t="s">
        <v>70</v>
      </c>
      <c r="H232" s="14">
        <v>11</v>
      </c>
      <c r="I232" s="2">
        <v>1490</v>
      </c>
      <c r="J232" s="3">
        <v>0</v>
      </c>
      <c r="K232" s="2">
        <v>16390</v>
      </c>
      <c r="L232" s="2">
        <v>11636</v>
      </c>
      <c r="M232" s="2">
        <v>4754</v>
      </c>
      <c r="N232" s="14" t="s">
        <v>44</v>
      </c>
      <c r="O232" s="14">
        <v>2</v>
      </c>
      <c r="V232" s="2"/>
    </row>
    <row r="233" spans="1:22">
      <c r="A233">
        <v>10245</v>
      </c>
      <c r="B233" s="7" t="s">
        <v>208</v>
      </c>
      <c r="C233" s="14" t="s">
        <v>120</v>
      </c>
      <c r="D233" s="14" t="s">
        <v>39</v>
      </c>
      <c r="E233" s="14" t="s">
        <v>56</v>
      </c>
      <c r="F233" s="14" t="s">
        <v>49</v>
      </c>
      <c r="G233" s="14" t="s">
        <v>63</v>
      </c>
      <c r="H233" s="14">
        <v>6</v>
      </c>
      <c r="I233" s="2">
        <v>1260</v>
      </c>
      <c r="J233" s="3">
        <v>20</v>
      </c>
      <c r="K233" s="2">
        <v>6048</v>
      </c>
      <c r="L233" s="2">
        <v>4536</v>
      </c>
      <c r="M233" s="2">
        <v>1512</v>
      </c>
      <c r="N233" s="14" t="s">
        <v>44</v>
      </c>
      <c r="O233" s="14">
        <v>5</v>
      </c>
      <c r="V233" s="2"/>
    </row>
    <row r="234" spans="1:22">
      <c r="A234">
        <v>10246</v>
      </c>
      <c r="B234" s="7" t="s">
        <v>319</v>
      </c>
      <c r="C234" s="14" t="s">
        <v>120</v>
      </c>
      <c r="D234" s="14" t="s">
        <v>39</v>
      </c>
      <c r="E234" s="14" t="s">
        <v>61</v>
      </c>
      <c r="F234" s="14" t="s">
        <v>51</v>
      </c>
      <c r="G234" s="14" t="s">
        <v>70</v>
      </c>
      <c r="H234" s="14">
        <v>8</v>
      </c>
      <c r="I234" s="2">
        <v>730</v>
      </c>
      <c r="J234" s="3">
        <v>20</v>
      </c>
      <c r="K234" s="2">
        <v>4672</v>
      </c>
      <c r="L234" s="2">
        <v>2849</v>
      </c>
      <c r="M234" s="2">
        <v>1823</v>
      </c>
      <c r="N234" s="14" t="s">
        <v>44</v>
      </c>
      <c r="O234" s="14">
        <v>2</v>
      </c>
      <c r="V234" s="2"/>
    </row>
    <row r="235" spans="1:22">
      <c r="A235">
        <v>10247</v>
      </c>
      <c r="B235" s="7" t="s">
        <v>296</v>
      </c>
      <c r="C235" s="14" t="s">
        <v>130</v>
      </c>
      <c r="D235" s="14" t="s">
        <v>42</v>
      </c>
      <c r="E235" s="14" t="s">
        <v>56</v>
      </c>
      <c r="F235" s="14" t="s">
        <v>57</v>
      </c>
      <c r="G235" s="14" t="s">
        <v>66</v>
      </c>
      <c r="H235" s="14">
        <v>9</v>
      </c>
      <c r="I235" s="2">
        <v>950</v>
      </c>
      <c r="J235" s="3">
        <v>10</v>
      </c>
      <c r="K235" s="2">
        <v>7695</v>
      </c>
      <c r="L235" s="2">
        <v>4463</v>
      </c>
      <c r="M235" s="2">
        <v>3232</v>
      </c>
      <c r="N235" s="14" t="s">
        <v>44</v>
      </c>
      <c r="O235" s="14">
        <v>3</v>
      </c>
      <c r="V235" s="2"/>
    </row>
    <row r="236" spans="1:22">
      <c r="A236">
        <v>10248</v>
      </c>
      <c r="B236" s="7" t="s">
        <v>320</v>
      </c>
      <c r="C236" s="14" t="s">
        <v>120</v>
      </c>
      <c r="D236" s="14" t="s">
        <v>45</v>
      </c>
      <c r="E236" s="14" t="s">
        <v>58</v>
      </c>
      <c r="F236" s="14" t="s">
        <v>43</v>
      </c>
      <c r="G236" s="14" t="s">
        <v>74</v>
      </c>
      <c r="H236" s="14">
        <v>7</v>
      </c>
      <c r="I236" s="2">
        <v>360</v>
      </c>
      <c r="J236" s="3">
        <v>10</v>
      </c>
      <c r="K236" s="2">
        <v>2268</v>
      </c>
      <c r="L236" s="2">
        <v>1338</v>
      </c>
      <c r="M236" s="2">
        <v>930</v>
      </c>
      <c r="N236" s="14" t="s">
        <v>44</v>
      </c>
      <c r="O236" s="14">
        <v>3</v>
      </c>
      <c r="V236" s="2"/>
    </row>
    <row r="237" spans="1:22">
      <c r="A237">
        <v>10249</v>
      </c>
      <c r="B237" s="7" t="s">
        <v>195</v>
      </c>
      <c r="C237" s="14" t="s">
        <v>116</v>
      </c>
      <c r="D237" s="14" t="s">
        <v>45</v>
      </c>
      <c r="E237" s="14" t="s">
        <v>56</v>
      </c>
      <c r="F237" s="14" t="s">
        <v>57</v>
      </c>
      <c r="G237" s="14" t="s">
        <v>70</v>
      </c>
      <c r="H237" s="14">
        <v>10</v>
      </c>
      <c r="I237" s="2">
        <v>980</v>
      </c>
      <c r="J237" s="3">
        <v>15</v>
      </c>
      <c r="K237" s="2">
        <v>8330</v>
      </c>
      <c r="L237" s="2">
        <v>5997</v>
      </c>
      <c r="M237" s="2">
        <v>2333</v>
      </c>
      <c r="N237" s="14" t="s">
        <v>38</v>
      </c>
      <c r="O237" s="14">
        <v>5</v>
      </c>
      <c r="V237" s="2"/>
    </row>
    <row r="238" spans="1:22">
      <c r="A238">
        <v>10250</v>
      </c>
      <c r="B238" s="7" t="s">
        <v>321</v>
      </c>
      <c r="C238" s="14" t="s">
        <v>137</v>
      </c>
      <c r="D238" s="14" t="s">
        <v>36</v>
      </c>
      <c r="E238" s="14" t="s">
        <v>56</v>
      </c>
      <c r="F238" s="14" t="s">
        <v>50</v>
      </c>
      <c r="G238" s="14" t="s">
        <v>64</v>
      </c>
      <c r="H238" s="14">
        <v>12</v>
      </c>
      <c r="I238" s="2">
        <v>1830</v>
      </c>
      <c r="J238" s="3">
        <v>5</v>
      </c>
      <c r="K238" s="2">
        <v>20862</v>
      </c>
      <c r="L238" s="2">
        <v>15229</v>
      </c>
      <c r="M238" s="2">
        <v>5633</v>
      </c>
      <c r="N238" s="14" t="s">
        <v>44</v>
      </c>
      <c r="O238" s="14">
        <v>1</v>
      </c>
      <c r="V238" s="2"/>
    </row>
    <row r="239" spans="1:22">
      <c r="A239">
        <v>10251</v>
      </c>
      <c r="B239" s="7" t="s">
        <v>322</v>
      </c>
      <c r="C239" s="14" t="s">
        <v>135</v>
      </c>
      <c r="D239" s="14" t="s">
        <v>42</v>
      </c>
      <c r="E239" s="14" t="s">
        <v>58</v>
      </c>
      <c r="F239" s="14" t="s">
        <v>40</v>
      </c>
      <c r="G239" s="14" t="s">
        <v>70</v>
      </c>
      <c r="H239" s="14">
        <v>9</v>
      </c>
      <c r="I239" s="2">
        <v>1150</v>
      </c>
      <c r="J239" s="3">
        <v>20</v>
      </c>
      <c r="K239" s="2">
        <v>8280</v>
      </c>
      <c r="L239" s="2">
        <v>4885</v>
      </c>
      <c r="M239" s="2">
        <v>3395</v>
      </c>
      <c r="N239" s="14" t="s">
        <v>47</v>
      </c>
      <c r="O239" s="14">
        <v>1</v>
      </c>
      <c r="V239" s="2"/>
    </row>
    <row r="240" spans="1:22">
      <c r="A240">
        <v>10252</v>
      </c>
      <c r="B240" s="7" t="s">
        <v>175</v>
      </c>
      <c r="C240" s="14" t="s">
        <v>128</v>
      </c>
      <c r="D240" s="14" t="s">
        <v>39</v>
      </c>
      <c r="E240" s="14" t="s">
        <v>58</v>
      </c>
      <c r="F240" s="14" t="s">
        <v>37</v>
      </c>
      <c r="G240" s="14" t="s">
        <v>68</v>
      </c>
      <c r="H240" s="14">
        <v>9</v>
      </c>
      <c r="I240" s="2">
        <v>600</v>
      </c>
      <c r="J240" s="3">
        <v>20</v>
      </c>
      <c r="K240" s="2">
        <v>4320</v>
      </c>
      <c r="L240" s="2">
        <v>3456</v>
      </c>
      <c r="M240" s="2">
        <v>864</v>
      </c>
      <c r="N240" s="14" t="s">
        <v>44</v>
      </c>
      <c r="O240" s="14">
        <v>5</v>
      </c>
      <c r="V240" s="2"/>
    </row>
    <row r="241" spans="1:22">
      <c r="A241">
        <v>10253</v>
      </c>
      <c r="B241" s="7" t="s">
        <v>323</v>
      </c>
      <c r="C241" s="14" t="s">
        <v>141</v>
      </c>
      <c r="D241" s="14" t="s">
        <v>36</v>
      </c>
      <c r="E241" s="14" t="s">
        <v>56</v>
      </c>
      <c r="F241" s="14" t="s">
        <v>57</v>
      </c>
      <c r="G241" s="14" t="s">
        <v>68</v>
      </c>
      <c r="H241" s="14">
        <v>13</v>
      </c>
      <c r="I241" s="2">
        <v>1490</v>
      </c>
      <c r="J241" s="3">
        <v>20</v>
      </c>
      <c r="K241" s="2">
        <v>15496</v>
      </c>
      <c r="L241" s="2">
        <v>11312</v>
      </c>
      <c r="M241" s="2">
        <v>4184</v>
      </c>
      <c r="N241" s="14" t="s">
        <v>44</v>
      </c>
      <c r="O241" s="14">
        <v>2</v>
      </c>
      <c r="V241" s="2"/>
    </row>
    <row r="242" spans="1:22">
      <c r="A242">
        <v>10254</v>
      </c>
      <c r="B242" s="7" t="s">
        <v>207</v>
      </c>
      <c r="C242" s="14" t="s">
        <v>137</v>
      </c>
      <c r="D242" s="14" t="s">
        <v>39</v>
      </c>
      <c r="E242" s="14" t="s">
        <v>58</v>
      </c>
      <c r="F242" s="14" t="s">
        <v>37</v>
      </c>
      <c r="G242" s="14" t="s">
        <v>64</v>
      </c>
      <c r="H242" s="14">
        <v>1</v>
      </c>
      <c r="I242" s="2">
        <v>730</v>
      </c>
      <c r="J242" s="3">
        <v>15</v>
      </c>
      <c r="K242" s="2">
        <v>620.5</v>
      </c>
      <c r="L242" s="2">
        <v>452</v>
      </c>
      <c r="M242" s="2">
        <v>168.5</v>
      </c>
      <c r="N242" s="14" t="s">
        <v>38</v>
      </c>
      <c r="O242" s="14">
        <v>1</v>
      </c>
      <c r="V242" s="2"/>
    </row>
    <row r="243" spans="1:22">
      <c r="A243">
        <v>10255</v>
      </c>
      <c r="B243" s="7" t="s">
        <v>324</v>
      </c>
      <c r="C243" s="14" t="s">
        <v>120</v>
      </c>
      <c r="D243" s="14" t="s">
        <v>39</v>
      </c>
      <c r="E243" s="14" t="s">
        <v>58</v>
      </c>
      <c r="F243" s="14" t="s">
        <v>55</v>
      </c>
      <c r="G243" s="14" t="s">
        <v>66</v>
      </c>
      <c r="H243" s="14">
        <v>7</v>
      </c>
      <c r="I243" s="2">
        <v>1730</v>
      </c>
      <c r="J243" s="3">
        <v>5</v>
      </c>
      <c r="K243" s="2">
        <v>11504.5</v>
      </c>
      <c r="L243" s="2">
        <v>9778</v>
      </c>
      <c r="M243" s="2">
        <v>1726.5</v>
      </c>
      <c r="N243" s="14" t="s">
        <v>47</v>
      </c>
      <c r="O243" s="14">
        <v>5</v>
      </c>
      <c r="V243" s="2"/>
    </row>
    <row r="244" spans="1:22">
      <c r="A244">
        <v>10256</v>
      </c>
      <c r="B244" s="7" t="s">
        <v>325</v>
      </c>
      <c r="C244" s="14" t="s">
        <v>147</v>
      </c>
      <c r="D244" s="14" t="s">
        <v>39</v>
      </c>
      <c r="E244" s="14" t="s">
        <v>58</v>
      </c>
      <c r="F244" s="14" t="s">
        <v>37</v>
      </c>
      <c r="G244" s="14" t="s">
        <v>70</v>
      </c>
      <c r="H244" s="14">
        <v>15</v>
      </c>
      <c r="I244" s="2">
        <v>260</v>
      </c>
      <c r="J244" s="3">
        <v>20</v>
      </c>
      <c r="K244" s="2">
        <v>3120</v>
      </c>
      <c r="L244" s="2">
        <v>2308</v>
      </c>
      <c r="M244" s="2">
        <v>812</v>
      </c>
      <c r="N244" s="14" t="s">
        <v>47</v>
      </c>
      <c r="O244" s="14">
        <v>2</v>
      </c>
      <c r="V244" s="2"/>
    </row>
    <row r="245" spans="1:22">
      <c r="A245">
        <v>10257</v>
      </c>
      <c r="B245" s="7" t="s">
        <v>326</v>
      </c>
      <c r="C245" s="14" t="s">
        <v>147</v>
      </c>
      <c r="D245" s="14" t="s">
        <v>42</v>
      </c>
      <c r="E245" s="14" t="s">
        <v>56</v>
      </c>
      <c r="F245" s="14" t="s">
        <v>57</v>
      </c>
      <c r="G245" s="14" t="s">
        <v>68</v>
      </c>
      <c r="H245" s="14">
        <v>10</v>
      </c>
      <c r="I245" s="2">
        <v>1380</v>
      </c>
      <c r="J245" s="3">
        <v>0</v>
      </c>
      <c r="K245" s="2">
        <v>13800</v>
      </c>
      <c r="L245" s="2">
        <v>9522</v>
      </c>
      <c r="M245" s="2">
        <v>4278</v>
      </c>
      <c r="N245" s="14" t="s">
        <v>38</v>
      </c>
      <c r="O245" s="14">
        <v>3</v>
      </c>
      <c r="V245" s="2"/>
    </row>
    <row r="246" spans="1:22">
      <c r="A246">
        <v>10258</v>
      </c>
      <c r="B246" s="7" t="s">
        <v>138</v>
      </c>
      <c r="C246" s="14" t="s">
        <v>125</v>
      </c>
      <c r="D246" s="14" t="s">
        <v>39</v>
      </c>
      <c r="E246" s="14" t="s">
        <v>61</v>
      </c>
      <c r="F246" s="14" t="s">
        <v>117</v>
      </c>
      <c r="G246" s="14" t="s">
        <v>74</v>
      </c>
      <c r="H246" s="14">
        <v>5</v>
      </c>
      <c r="I246" s="2">
        <v>1620</v>
      </c>
      <c r="J246" s="3">
        <v>5</v>
      </c>
      <c r="K246" s="2">
        <v>7695</v>
      </c>
      <c r="L246" s="2">
        <v>5848</v>
      </c>
      <c r="M246" s="2">
        <v>1847</v>
      </c>
      <c r="N246" s="14" t="s">
        <v>38</v>
      </c>
      <c r="O246" s="14">
        <v>1</v>
      </c>
      <c r="V246" s="2"/>
    </row>
    <row r="247" spans="1:22">
      <c r="A247">
        <v>10259</v>
      </c>
      <c r="B247" s="7" t="s">
        <v>173</v>
      </c>
      <c r="C247" s="14" t="s">
        <v>130</v>
      </c>
      <c r="D247" s="14" t="s">
        <v>45</v>
      </c>
      <c r="E247" s="14" t="s">
        <v>58</v>
      </c>
      <c r="F247" s="14" t="s">
        <v>40</v>
      </c>
      <c r="G247" s="14" t="s">
        <v>70</v>
      </c>
      <c r="H247" s="14">
        <v>12</v>
      </c>
      <c r="I247" s="2">
        <v>1620</v>
      </c>
      <c r="J247" s="3">
        <v>5</v>
      </c>
      <c r="K247" s="2">
        <v>18468</v>
      </c>
      <c r="L247" s="2">
        <v>11450</v>
      </c>
      <c r="M247" s="2">
        <v>7018</v>
      </c>
      <c r="N247" s="14" t="s">
        <v>44</v>
      </c>
      <c r="O247" s="14">
        <v>5</v>
      </c>
      <c r="V247" s="2"/>
    </row>
    <row r="248" spans="1:22">
      <c r="A248">
        <v>10260</v>
      </c>
      <c r="B248" s="7" t="s">
        <v>136</v>
      </c>
      <c r="C248" s="14" t="s">
        <v>135</v>
      </c>
      <c r="D248" s="14" t="s">
        <v>39</v>
      </c>
      <c r="E248" s="14" t="s">
        <v>56</v>
      </c>
      <c r="F248" s="14" t="s">
        <v>50</v>
      </c>
      <c r="G248" s="14" t="s">
        <v>72</v>
      </c>
      <c r="H248" s="14">
        <v>12</v>
      </c>
      <c r="I248" s="2">
        <v>870</v>
      </c>
      <c r="J248" s="3">
        <v>10</v>
      </c>
      <c r="K248" s="2">
        <v>9396</v>
      </c>
      <c r="L248" s="2">
        <v>6013</v>
      </c>
      <c r="M248" s="2">
        <v>3383</v>
      </c>
      <c r="N248" s="14" t="s">
        <v>47</v>
      </c>
      <c r="O248" s="14">
        <v>3</v>
      </c>
      <c r="V248" s="2"/>
    </row>
    <row r="249" spans="1:22">
      <c r="A249">
        <v>10261</v>
      </c>
      <c r="B249" s="7" t="s">
        <v>286</v>
      </c>
      <c r="C249" s="14" t="s">
        <v>125</v>
      </c>
      <c r="D249" s="14" t="s">
        <v>36</v>
      </c>
      <c r="E249" s="14" t="s">
        <v>61</v>
      </c>
      <c r="F249" s="14" t="s">
        <v>46</v>
      </c>
      <c r="G249" s="14" t="s">
        <v>68</v>
      </c>
      <c r="H249" s="14">
        <v>7</v>
      </c>
      <c r="I249" s="2">
        <v>390</v>
      </c>
      <c r="J249" s="3">
        <v>20</v>
      </c>
      <c r="K249" s="2">
        <v>2184</v>
      </c>
      <c r="L249" s="2">
        <v>1528</v>
      </c>
      <c r="M249" s="2">
        <v>656</v>
      </c>
      <c r="N249" s="14" t="s">
        <v>38</v>
      </c>
      <c r="O249" s="14">
        <v>3</v>
      </c>
      <c r="V249" s="2"/>
    </row>
    <row r="250" spans="1:22">
      <c r="A250">
        <v>10262</v>
      </c>
      <c r="B250" s="7" t="s">
        <v>319</v>
      </c>
      <c r="C250" s="14" t="s">
        <v>130</v>
      </c>
      <c r="D250" s="14" t="s">
        <v>45</v>
      </c>
      <c r="E250" s="14" t="s">
        <v>58</v>
      </c>
      <c r="F250" s="14" t="s">
        <v>37</v>
      </c>
      <c r="G250" s="14" t="s">
        <v>64</v>
      </c>
      <c r="H250" s="14">
        <v>1</v>
      </c>
      <c r="I250" s="2">
        <v>1360</v>
      </c>
      <c r="J250" s="3">
        <v>20</v>
      </c>
      <c r="K250" s="2">
        <v>1088</v>
      </c>
      <c r="L250" s="2">
        <v>837</v>
      </c>
      <c r="M250" s="2">
        <v>251</v>
      </c>
      <c r="N250" s="14" t="s">
        <v>44</v>
      </c>
      <c r="O250" s="14">
        <v>3</v>
      </c>
      <c r="V250" s="2"/>
    </row>
    <row r="251" spans="1:22">
      <c r="A251">
        <v>10263</v>
      </c>
      <c r="B251" s="7" t="s">
        <v>327</v>
      </c>
      <c r="C251" s="14" t="s">
        <v>147</v>
      </c>
      <c r="D251" s="14" t="s">
        <v>36</v>
      </c>
      <c r="E251" s="14" t="s">
        <v>56</v>
      </c>
      <c r="F251" s="14" t="s">
        <v>50</v>
      </c>
      <c r="G251" s="14" t="s">
        <v>68</v>
      </c>
      <c r="H251" s="14">
        <v>4</v>
      </c>
      <c r="I251" s="2">
        <v>1830</v>
      </c>
      <c r="J251" s="3">
        <v>5</v>
      </c>
      <c r="K251" s="2">
        <v>6954</v>
      </c>
      <c r="L251" s="2">
        <v>5145</v>
      </c>
      <c r="M251" s="2">
        <v>1809</v>
      </c>
      <c r="N251" s="14" t="s">
        <v>38</v>
      </c>
      <c r="O251" s="14">
        <v>5</v>
      </c>
      <c r="V251" s="2"/>
    </row>
    <row r="252" spans="1:22">
      <c r="A252">
        <v>10264</v>
      </c>
      <c r="B252" s="7" t="s">
        <v>193</v>
      </c>
      <c r="C252" s="14" t="s">
        <v>137</v>
      </c>
      <c r="D252" s="14" t="s">
        <v>45</v>
      </c>
      <c r="E252" s="14" t="s">
        <v>61</v>
      </c>
      <c r="F252" s="14" t="s">
        <v>143</v>
      </c>
      <c r="G252" s="14" t="s">
        <v>66</v>
      </c>
      <c r="H252" s="14">
        <v>9</v>
      </c>
      <c r="I252" s="2">
        <v>1440</v>
      </c>
      <c r="J252" s="3">
        <v>15</v>
      </c>
      <c r="K252" s="2">
        <v>11016</v>
      </c>
      <c r="L252" s="2">
        <v>8702</v>
      </c>
      <c r="M252" s="2">
        <v>2314</v>
      </c>
      <c r="N252" s="14" t="s">
        <v>47</v>
      </c>
      <c r="O252" s="14">
        <v>1</v>
      </c>
      <c r="V252" s="2"/>
    </row>
    <row r="253" spans="1:22">
      <c r="A253">
        <v>10265</v>
      </c>
      <c r="B253" s="7" t="s">
        <v>328</v>
      </c>
      <c r="C253" s="14" t="s">
        <v>116</v>
      </c>
      <c r="D253" s="14" t="s">
        <v>39</v>
      </c>
      <c r="E253" s="14" t="s">
        <v>61</v>
      </c>
      <c r="F253" s="14" t="s">
        <v>51</v>
      </c>
      <c r="G253" s="14" t="s">
        <v>63</v>
      </c>
      <c r="H253" s="14">
        <v>3</v>
      </c>
      <c r="I253" s="2">
        <v>420</v>
      </c>
      <c r="J253" s="3">
        <v>10</v>
      </c>
      <c r="K253" s="2">
        <v>1134</v>
      </c>
      <c r="L253" s="2">
        <v>691</v>
      </c>
      <c r="M253" s="2">
        <v>443</v>
      </c>
      <c r="N253" s="14" t="s">
        <v>47</v>
      </c>
      <c r="O253" s="14">
        <v>3</v>
      </c>
      <c r="V253" s="2"/>
    </row>
    <row r="254" spans="1:22">
      <c r="A254">
        <v>10266</v>
      </c>
      <c r="B254" s="7" t="s">
        <v>177</v>
      </c>
      <c r="C254" s="14" t="s">
        <v>147</v>
      </c>
      <c r="D254" s="14" t="s">
        <v>39</v>
      </c>
      <c r="E254" s="14" t="s">
        <v>58</v>
      </c>
      <c r="F254" s="14" t="s">
        <v>43</v>
      </c>
      <c r="G254" s="14" t="s">
        <v>70</v>
      </c>
      <c r="H254" s="14">
        <v>3</v>
      </c>
      <c r="I254" s="2">
        <v>530</v>
      </c>
      <c r="J254" s="3">
        <v>15</v>
      </c>
      <c r="K254" s="2">
        <v>1351.5</v>
      </c>
      <c r="L254" s="2">
        <v>878</v>
      </c>
      <c r="M254" s="2">
        <v>473.5</v>
      </c>
      <c r="N254" s="14" t="s">
        <v>38</v>
      </c>
      <c r="O254" s="14">
        <v>5</v>
      </c>
      <c r="V254" s="2"/>
    </row>
    <row r="255" spans="1:22">
      <c r="A255">
        <v>10267</v>
      </c>
      <c r="B255" s="7" t="s">
        <v>182</v>
      </c>
      <c r="C255" s="14" t="s">
        <v>135</v>
      </c>
      <c r="D255" s="14" t="s">
        <v>42</v>
      </c>
      <c r="E255" s="14" t="s">
        <v>58</v>
      </c>
      <c r="F255" s="14" t="s">
        <v>43</v>
      </c>
      <c r="G255" s="14" t="s">
        <v>72</v>
      </c>
      <c r="H255" s="14">
        <v>2</v>
      </c>
      <c r="I255" s="2">
        <v>820</v>
      </c>
      <c r="J255" s="3">
        <v>0</v>
      </c>
      <c r="K255" s="2">
        <v>1640</v>
      </c>
      <c r="L255" s="2">
        <v>934</v>
      </c>
      <c r="M255" s="2">
        <v>706</v>
      </c>
      <c r="N255" s="14" t="s">
        <v>38</v>
      </c>
      <c r="O255" s="14">
        <v>5</v>
      </c>
      <c r="V255" s="2"/>
    </row>
    <row r="256" spans="1:22">
      <c r="A256">
        <v>10268</v>
      </c>
      <c r="B256" s="7" t="s">
        <v>329</v>
      </c>
      <c r="C256" s="14" t="s">
        <v>120</v>
      </c>
      <c r="D256" s="14" t="s">
        <v>45</v>
      </c>
      <c r="E256" s="14" t="s">
        <v>61</v>
      </c>
      <c r="F256" s="14" t="s">
        <v>117</v>
      </c>
      <c r="G256" s="14" t="s">
        <v>70</v>
      </c>
      <c r="H256" s="14">
        <v>4</v>
      </c>
      <c r="I256" s="2">
        <v>1360</v>
      </c>
      <c r="J256" s="3">
        <v>20</v>
      </c>
      <c r="K256" s="2">
        <v>4352</v>
      </c>
      <c r="L256" s="2">
        <v>3655</v>
      </c>
      <c r="M256" s="2">
        <v>697</v>
      </c>
      <c r="N256" s="14" t="s">
        <v>41</v>
      </c>
      <c r="O256" s="14">
        <v>5</v>
      </c>
      <c r="V256" s="2"/>
    </row>
    <row r="257" spans="1:22">
      <c r="A257">
        <v>10269</v>
      </c>
      <c r="B257" s="7" t="s">
        <v>330</v>
      </c>
      <c r="C257" s="14" t="s">
        <v>135</v>
      </c>
      <c r="D257" s="14" t="s">
        <v>45</v>
      </c>
      <c r="E257" s="14" t="s">
        <v>61</v>
      </c>
      <c r="F257" s="14" t="s">
        <v>117</v>
      </c>
      <c r="G257" s="14" t="s">
        <v>72</v>
      </c>
      <c r="H257" s="14">
        <v>14</v>
      </c>
      <c r="I257" s="2">
        <v>660</v>
      </c>
      <c r="J257" s="3">
        <v>20</v>
      </c>
      <c r="K257" s="2">
        <v>7392</v>
      </c>
      <c r="L257" s="2">
        <v>4435</v>
      </c>
      <c r="M257" s="2">
        <v>2957</v>
      </c>
      <c r="N257" s="14" t="s">
        <v>47</v>
      </c>
      <c r="O257" s="14">
        <v>2</v>
      </c>
      <c r="V257" s="2"/>
    </row>
    <row r="258" spans="1:22">
      <c r="A258">
        <v>10270</v>
      </c>
      <c r="B258" s="7" t="s">
        <v>331</v>
      </c>
      <c r="C258" s="14" t="s">
        <v>111</v>
      </c>
      <c r="D258" s="14" t="s">
        <v>45</v>
      </c>
      <c r="E258" s="14" t="s">
        <v>58</v>
      </c>
      <c r="F258" s="14" t="s">
        <v>40</v>
      </c>
      <c r="G258" s="14" t="s">
        <v>66</v>
      </c>
      <c r="H258" s="14">
        <v>14</v>
      </c>
      <c r="I258" s="2">
        <v>1260</v>
      </c>
      <c r="J258" s="3">
        <v>10</v>
      </c>
      <c r="K258" s="2">
        <v>15876</v>
      </c>
      <c r="L258" s="2">
        <v>12065</v>
      </c>
      <c r="M258" s="2">
        <v>3811</v>
      </c>
      <c r="N258" s="14" t="s">
        <v>38</v>
      </c>
      <c r="O258" s="14">
        <v>3</v>
      </c>
      <c r="V258" s="2"/>
    </row>
    <row r="259" spans="1:22">
      <c r="A259">
        <v>10271</v>
      </c>
      <c r="B259" s="7" t="s">
        <v>190</v>
      </c>
      <c r="C259" s="14" t="s">
        <v>141</v>
      </c>
      <c r="D259" s="14" t="s">
        <v>39</v>
      </c>
      <c r="E259" s="14" t="s">
        <v>56</v>
      </c>
      <c r="F259" s="14" t="s">
        <v>150</v>
      </c>
      <c r="G259" s="14" t="s">
        <v>70</v>
      </c>
      <c r="H259" s="14">
        <v>15</v>
      </c>
      <c r="I259" s="2">
        <v>240</v>
      </c>
      <c r="J259" s="3">
        <v>15</v>
      </c>
      <c r="K259" s="2">
        <v>3060</v>
      </c>
      <c r="L259" s="2">
        <v>1958</v>
      </c>
      <c r="M259" s="2">
        <v>1102</v>
      </c>
      <c r="N259" s="14" t="s">
        <v>47</v>
      </c>
      <c r="O259" s="14">
        <v>2</v>
      </c>
      <c r="V259" s="2"/>
    </row>
    <row r="260" spans="1:22">
      <c r="A260">
        <v>10272</v>
      </c>
      <c r="B260" s="7" t="s">
        <v>332</v>
      </c>
      <c r="C260" s="14" t="s">
        <v>135</v>
      </c>
      <c r="D260" s="14" t="s">
        <v>42</v>
      </c>
      <c r="E260" s="14" t="s">
        <v>56</v>
      </c>
      <c r="F260" s="14" t="s">
        <v>150</v>
      </c>
      <c r="G260" s="14" t="s">
        <v>66</v>
      </c>
      <c r="H260" s="14">
        <v>10</v>
      </c>
      <c r="I260" s="2">
        <v>1020</v>
      </c>
      <c r="J260" s="3">
        <v>10</v>
      </c>
      <c r="K260" s="2">
        <v>9180</v>
      </c>
      <c r="L260" s="2">
        <v>7160</v>
      </c>
      <c r="M260" s="2">
        <v>2020</v>
      </c>
      <c r="N260" s="14" t="s">
        <v>41</v>
      </c>
      <c r="O260" s="14">
        <v>3</v>
      </c>
      <c r="V260" s="2"/>
    </row>
    <row r="261" spans="1:22">
      <c r="A261">
        <v>10273</v>
      </c>
      <c r="B261" s="7" t="s">
        <v>331</v>
      </c>
      <c r="C261" s="14" t="s">
        <v>130</v>
      </c>
      <c r="D261" s="14" t="s">
        <v>39</v>
      </c>
      <c r="E261" s="14" t="s">
        <v>61</v>
      </c>
      <c r="F261" s="14" t="s">
        <v>52</v>
      </c>
      <c r="G261" s="14" t="s">
        <v>74</v>
      </c>
      <c r="H261" s="14">
        <v>8</v>
      </c>
      <c r="I261" s="2">
        <v>1920</v>
      </c>
      <c r="J261" s="3">
        <v>10</v>
      </c>
      <c r="K261" s="2">
        <v>13824</v>
      </c>
      <c r="L261" s="2">
        <v>11612</v>
      </c>
      <c r="M261" s="2">
        <v>2212</v>
      </c>
      <c r="N261" s="14" t="s">
        <v>38</v>
      </c>
      <c r="O261" s="14">
        <v>3</v>
      </c>
      <c r="V261" s="2"/>
    </row>
    <row r="262" spans="1:22">
      <c r="A262">
        <v>10274</v>
      </c>
      <c r="B262" s="7" t="s">
        <v>333</v>
      </c>
      <c r="C262" s="14" t="s">
        <v>128</v>
      </c>
      <c r="D262" s="14" t="s">
        <v>39</v>
      </c>
      <c r="E262" s="14" t="s">
        <v>56</v>
      </c>
      <c r="F262" s="14" t="s">
        <v>150</v>
      </c>
      <c r="G262" s="14" t="s">
        <v>64</v>
      </c>
      <c r="H262" s="14">
        <v>8</v>
      </c>
      <c r="I262" s="2">
        <v>690</v>
      </c>
      <c r="J262" s="3">
        <v>15</v>
      </c>
      <c r="K262" s="2">
        <v>4692</v>
      </c>
      <c r="L262" s="2">
        <v>3096</v>
      </c>
      <c r="M262" s="2">
        <v>1596</v>
      </c>
      <c r="N262" s="14" t="s">
        <v>47</v>
      </c>
      <c r="O262" s="14">
        <v>1</v>
      </c>
      <c r="V262" s="2"/>
    </row>
    <row r="263" spans="1:22">
      <c r="A263">
        <v>10275</v>
      </c>
      <c r="B263" s="7" t="s">
        <v>334</v>
      </c>
      <c r="C263" s="14" t="s">
        <v>120</v>
      </c>
      <c r="D263" s="14" t="s">
        <v>36</v>
      </c>
      <c r="E263" s="14" t="s">
        <v>56</v>
      </c>
      <c r="F263" s="14" t="s">
        <v>57</v>
      </c>
      <c r="G263" s="14" t="s">
        <v>64</v>
      </c>
      <c r="H263" s="14">
        <v>9</v>
      </c>
      <c r="I263" s="2">
        <v>910</v>
      </c>
      <c r="J263" s="3">
        <v>15</v>
      </c>
      <c r="K263" s="2">
        <v>6961.5</v>
      </c>
      <c r="L263" s="2">
        <v>3828</v>
      </c>
      <c r="M263" s="2">
        <v>3133.5</v>
      </c>
      <c r="N263" s="14" t="s">
        <v>41</v>
      </c>
      <c r="O263" s="14">
        <v>2</v>
      </c>
      <c r="V263" s="2"/>
    </row>
    <row r="264" spans="1:22">
      <c r="A264">
        <v>10276</v>
      </c>
      <c r="B264" s="7" t="s">
        <v>335</v>
      </c>
      <c r="C264" s="14" t="s">
        <v>135</v>
      </c>
      <c r="D264" s="14" t="s">
        <v>45</v>
      </c>
      <c r="E264" s="14" t="s">
        <v>61</v>
      </c>
      <c r="F264" s="14" t="s">
        <v>51</v>
      </c>
      <c r="G264" s="14" t="s">
        <v>68</v>
      </c>
      <c r="H264" s="14">
        <v>11</v>
      </c>
      <c r="I264" s="2">
        <v>1010</v>
      </c>
      <c r="J264" s="3">
        <v>0</v>
      </c>
      <c r="K264" s="2">
        <v>11110</v>
      </c>
      <c r="L264" s="2">
        <v>9332</v>
      </c>
      <c r="M264" s="2">
        <v>1778</v>
      </c>
      <c r="N264" s="14" t="s">
        <v>44</v>
      </c>
      <c r="O264" s="14">
        <v>3</v>
      </c>
      <c r="V264" s="2"/>
    </row>
    <row r="265" spans="1:22">
      <c r="A265">
        <v>10277</v>
      </c>
      <c r="B265" s="7" t="s">
        <v>336</v>
      </c>
      <c r="C265" s="14" t="s">
        <v>141</v>
      </c>
      <c r="D265" s="14" t="s">
        <v>42</v>
      </c>
      <c r="E265" s="14" t="s">
        <v>58</v>
      </c>
      <c r="F265" s="14" t="s">
        <v>40</v>
      </c>
      <c r="G265" s="14" t="s">
        <v>68</v>
      </c>
      <c r="H265" s="14">
        <v>9</v>
      </c>
      <c r="I265" s="2">
        <v>960</v>
      </c>
      <c r="J265" s="3">
        <v>10</v>
      </c>
      <c r="K265" s="2">
        <v>7776</v>
      </c>
      <c r="L265" s="2">
        <v>4898</v>
      </c>
      <c r="M265" s="2">
        <v>2878</v>
      </c>
      <c r="N265" s="14" t="s">
        <v>44</v>
      </c>
      <c r="O265" s="14">
        <v>5</v>
      </c>
      <c r="V265" s="2"/>
    </row>
    <row r="266" spans="1:22">
      <c r="A266">
        <v>10278</v>
      </c>
      <c r="B266" s="7" t="s">
        <v>337</v>
      </c>
      <c r="C266" s="14" t="s">
        <v>135</v>
      </c>
      <c r="D266" s="14" t="s">
        <v>45</v>
      </c>
      <c r="E266" s="14" t="s">
        <v>58</v>
      </c>
      <c r="F266" s="14" t="s">
        <v>43</v>
      </c>
      <c r="G266" s="14" t="s">
        <v>64</v>
      </c>
      <c r="H266" s="14">
        <v>9</v>
      </c>
      <c r="I266" s="2">
        <v>1520</v>
      </c>
      <c r="J266" s="3">
        <v>20</v>
      </c>
      <c r="K266" s="2">
        <v>10944</v>
      </c>
      <c r="L266" s="2">
        <v>7989</v>
      </c>
      <c r="M266" s="2">
        <v>2955</v>
      </c>
      <c r="N266" s="14" t="s">
        <v>38</v>
      </c>
      <c r="O266" s="14">
        <v>1</v>
      </c>
      <c r="V266" s="2"/>
    </row>
    <row r="267" spans="1:22">
      <c r="A267">
        <v>10279</v>
      </c>
      <c r="B267" s="7" t="s">
        <v>338</v>
      </c>
      <c r="C267" s="14" t="s">
        <v>141</v>
      </c>
      <c r="D267" s="14" t="s">
        <v>42</v>
      </c>
      <c r="E267" s="14" t="s">
        <v>58</v>
      </c>
      <c r="F267" s="14" t="s">
        <v>37</v>
      </c>
      <c r="G267" s="14" t="s">
        <v>74</v>
      </c>
      <c r="H267" s="14">
        <v>8</v>
      </c>
      <c r="I267" s="2">
        <v>1660</v>
      </c>
      <c r="J267" s="3">
        <v>5</v>
      </c>
      <c r="K267" s="2">
        <v>12616</v>
      </c>
      <c r="L267" s="2">
        <v>7443</v>
      </c>
      <c r="M267" s="2">
        <v>5173</v>
      </c>
      <c r="N267" s="14" t="s">
        <v>38</v>
      </c>
      <c r="O267" s="14">
        <v>2</v>
      </c>
      <c r="V267" s="2"/>
    </row>
    <row r="268" spans="1:22">
      <c r="A268">
        <v>10280</v>
      </c>
      <c r="B268" s="7" t="s">
        <v>221</v>
      </c>
      <c r="C268" s="14" t="s">
        <v>137</v>
      </c>
      <c r="D268" s="14" t="s">
        <v>42</v>
      </c>
      <c r="E268" s="14" t="s">
        <v>58</v>
      </c>
      <c r="F268" s="14" t="s">
        <v>55</v>
      </c>
      <c r="G268" s="14" t="s">
        <v>66</v>
      </c>
      <c r="H268" s="14">
        <v>10</v>
      </c>
      <c r="I268" s="2">
        <v>1370</v>
      </c>
      <c r="J268" s="3">
        <v>15</v>
      </c>
      <c r="K268" s="2">
        <v>11645</v>
      </c>
      <c r="L268" s="2">
        <v>7802</v>
      </c>
      <c r="M268" s="2">
        <v>3843</v>
      </c>
      <c r="N268" s="14" t="s">
        <v>44</v>
      </c>
      <c r="O268" s="14">
        <v>3</v>
      </c>
      <c r="V268" s="2"/>
    </row>
    <row r="269" spans="1:22">
      <c r="A269">
        <v>10281</v>
      </c>
      <c r="B269" s="7" t="s">
        <v>339</v>
      </c>
      <c r="C269" s="14" t="s">
        <v>141</v>
      </c>
      <c r="D269" s="14" t="s">
        <v>42</v>
      </c>
      <c r="E269" s="14" t="s">
        <v>61</v>
      </c>
      <c r="F269" s="14" t="s">
        <v>117</v>
      </c>
      <c r="G269" s="14" t="s">
        <v>72</v>
      </c>
      <c r="H269" s="14">
        <v>1</v>
      </c>
      <c r="I269" s="2">
        <v>1250</v>
      </c>
      <c r="J269" s="3">
        <v>10</v>
      </c>
      <c r="K269" s="2">
        <v>1125</v>
      </c>
      <c r="L269" s="2">
        <v>776</v>
      </c>
      <c r="M269" s="2">
        <v>349</v>
      </c>
      <c r="N269" s="14" t="s">
        <v>38</v>
      </c>
      <c r="O269" s="14">
        <v>2</v>
      </c>
      <c r="V269" s="2"/>
    </row>
    <row r="270" spans="1:22">
      <c r="A270">
        <v>10282</v>
      </c>
      <c r="B270" s="7" t="s">
        <v>340</v>
      </c>
      <c r="C270" s="14" t="s">
        <v>111</v>
      </c>
      <c r="D270" s="14" t="s">
        <v>42</v>
      </c>
      <c r="E270" s="14" t="s">
        <v>56</v>
      </c>
      <c r="F270" s="14" t="s">
        <v>150</v>
      </c>
      <c r="G270" s="14" t="s">
        <v>66</v>
      </c>
      <c r="H270" s="14">
        <v>5</v>
      </c>
      <c r="I270" s="2">
        <v>1940</v>
      </c>
      <c r="J270" s="3">
        <v>15</v>
      </c>
      <c r="K270" s="2">
        <v>8245</v>
      </c>
      <c r="L270" s="2">
        <v>5194</v>
      </c>
      <c r="M270" s="2">
        <v>3051</v>
      </c>
      <c r="N270" s="14" t="s">
        <v>47</v>
      </c>
      <c r="O270" s="14">
        <v>4</v>
      </c>
      <c r="V270" s="2"/>
    </row>
    <row r="271" spans="1:22">
      <c r="A271">
        <v>10283</v>
      </c>
      <c r="B271" s="7" t="s">
        <v>341</v>
      </c>
      <c r="C271" s="14" t="s">
        <v>120</v>
      </c>
      <c r="D271" s="14" t="s">
        <v>42</v>
      </c>
      <c r="E271" s="14" t="s">
        <v>56</v>
      </c>
      <c r="F271" s="14" t="s">
        <v>49</v>
      </c>
      <c r="G271" s="14" t="s">
        <v>63</v>
      </c>
      <c r="H271" s="14">
        <v>8</v>
      </c>
      <c r="I271" s="2">
        <v>740</v>
      </c>
      <c r="J271" s="3">
        <v>15</v>
      </c>
      <c r="K271" s="2">
        <v>5032</v>
      </c>
      <c r="L271" s="2">
        <v>2767</v>
      </c>
      <c r="M271" s="2">
        <v>2265</v>
      </c>
      <c r="N271" s="14" t="s">
        <v>38</v>
      </c>
      <c r="O271" s="14">
        <v>5</v>
      </c>
      <c r="V271" s="2"/>
    </row>
    <row r="272" spans="1:22">
      <c r="A272">
        <v>10287</v>
      </c>
      <c r="B272" s="7" t="s">
        <v>342</v>
      </c>
      <c r="C272" s="14" t="s">
        <v>147</v>
      </c>
      <c r="D272" s="14" t="s">
        <v>45</v>
      </c>
      <c r="E272" s="14" t="s">
        <v>56</v>
      </c>
      <c r="F272" s="14" t="s">
        <v>50</v>
      </c>
      <c r="G272" s="14" t="s">
        <v>74</v>
      </c>
      <c r="H272" s="14">
        <v>14</v>
      </c>
      <c r="I272" s="2">
        <v>1700</v>
      </c>
      <c r="J272" s="3">
        <v>20</v>
      </c>
      <c r="K272" s="2">
        <v>19040</v>
      </c>
      <c r="L272" s="2">
        <v>10662</v>
      </c>
      <c r="M272" s="2">
        <v>8378</v>
      </c>
      <c r="N272" s="14" t="s">
        <v>41</v>
      </c>
      <c r="O272" s="14">
        <v>1</v>
      </c>
      <c r="V272" s="2"/>
    </row>
    <row r="273" spans="1:22">
      <c r="A273">
        <v>10288</v>
      </c>
      <c r="B273" s="7" t="s">
        <v>186</v>
      </c>
      <c r="C273" s="14" t="s">
        <v>141</v>
      </c>
      <c r="D273" s="14" t="s">
        <v>45</v>
      </c>
      <c r="E273" s="14" t="s">
        <v>56</v>
      </c>
      <c r="F273" s="14" t="s">
        <v>131</v>
      </c>
      <c r="G273" s="14" t="s">
        <v>74</v>
      </c>
      <c r="H273" s="14">
        <v>1</v>
      </c>
      <c r="I273" s="2">
        <v>2000</v>
      </c>
      <c r="J273" s="3">
        <v>15</v>
      </c>
      <c r="K273" s="2">
        <v>1700</v>
      </c>
      <c r="L273" s="2">
        <v>1275</v>
      </c>
      <c r="M273" s="2">
        <v>425</v>
      </c>
      <c r="N273" s="14" t="s">
        <v>38</v>
      </c>
      <c r="O273" s="14">
        <v>2</v>
      </c>
      <c r="V273" s="2"/>
    </row>
    <row r="274" spans="1:22">
      <c r="A274">
        <v>10289</v>
      </c>
      <c r="B274" s="7" t="s">
        <v>343</v>
      </c>
      <c r="C274" s="14" t="s">
        <v>147</v>
      </c>
      <c r="D274" s="14" t="s">
        <v>45</v>
      </c>
      <c r="E274" s="14" t="s">
        <v>61</v>
      </c>
      <c r="F274" s="14" t="s">
        <v>51</v>
      </c>
      <c r="G274" s="14" t="s">
        <v>63</v>
      </c>
      <c r="H274" s="14">
        <v>8</v>
      </c>
      <c r="I274" s="2">
        <v>1610</v>
      </c>
      <c r="J274" s="3">
        <v>20</v>
      </c>
      <c r="K274" s="2">
        <v>10304</v>
      </c>
      <c r="L274" s="2">
        <v>6903</v>
      </c>
      <c r="M274" s="2">
        <v>3401</v>
      </c>
      <c r="N274" s="14" t="s">
        <v>38</v>
      </c>
      <c r="O274" s="14">
        <v>1</v>
      </c>
      <c r="V274" s="2"/>
    </row>
    <row r="275" spans="1:22">
      <c r="A275">
        <v>10290</v>
      </c>
      <c r="B275" s="7" t="s">
        <v>199</v>
      </c>
      <c r="C275" s="14" t="s">
        <v>130</v>
      </c>
      <c r="D275" s="14" t="s">
        <v>45</v>
      </c>
      <c r="E275" s="14" t="s">
        <v>61</v>
      </c>
      <c r="F275" s="14" t="s">
        <v>52</v>
      </c>
      <c r="G275" s="14" t="s">
        <v>70</v>
      </c>
      <c r="H275" s="14">
        <v>12</v>
      </c>
      <c r="I275" s="2">
        <v>540</v>
      </c>
      <c r="J275" s="3">
        <v>20</v>
      </c>
      <c r="K275" s="2">
        <v>5184</v>
      </c>
      <c r="L275" s="2">
        <v>3369</v>
      </c>
      <c r="M275" s="2">
        <v>1815</v>
      </c>
      <c r="N275" s="14" t="s">
        <v>47</v>
      </c>
      <c r="O275" s="14">
        <v>1</v>
      </c>
      <c r="V275" s="2"/>
    </row>
    <row r="276" spans="1:22">
      <c r="A276">
        <v>10291</v>
      </c>
      <c r="B276" s="7" t="s">
        <v>344</v>
      </c>
      <c r="C276" s="14" t="s">
        <v>141</v>
      </c>
      <c r="D276" s="14" t="s">
        <v>39</v>
      </c>
      <c r="E276" s="14" t="s">
        <v>61</v>
      </c>
      <c r="F276" s="14" t="s">
        <v>46</v>
      </c>
      <c r="G276" s="14" t="s">
        <v>64</v>
      </c>
      <c r="H276" s="14">
        <v>10</v>
      </c>
      <c r="I276" s="2">
        <v>1400</v>
      </c>
      <c r="J276" s="3">
        <v>15</v>
      </c>
      <c r="K276" s="2">
        <v>11900</v>
      </c>
      <c r="L276" s="2">
        <v>6664</v>
      </c>
      <c r="M276" s="2">
        <v>5236</v>
      </c>
      <c r="N276" s="14" t="s">
        <v>47</v>
      </c>
      <c r="O276" s="14">
        <v>1</v>
      </c>
      <c r="V276" s="2"/>
    </row>
    <row r="277" spans="1:22">
      <c r="A277">
        <v>10292</v>
      </c>
      <c r="B277" s="7" t="s">
        <v>345</v>
      </c>
      <c r="C277" s="14" t="s">
        <v>147</v>
      </c>
      <c r="D277" s="14" t="s">
        <v>42</v>
      </c>
      <c r="E277" s="14" t="s">
        <v>56</v>
      </c>
      <c r="F277" s="14" t="s">
        <v>131</v>
      </c>
      <c r="G277" s="14" t="s">
        <v>66</v>
      </c>
      <c r="H277" s="14">
        <v>13</v>
      </c>
      <c r="I277" s="2">
        <v>1740</v>
      </c>
      <c r="J277" s="3">
        <v>5</v>
      </c>
      <c r="K277" s="2">
        <v>21489</v>
      </c>
      <c r="L277" s="2">
        <v>13967</v>
      </c>
      <c r="M277" s="2">
        <v>7522</v>
      </c>
      <c r="N277" s="14" t="s">
        <v>38</v>
      </c>
      <c r="O277" s="14">
        <v>3</v>
      </c>
      <c r="V277" s="2"/>
    </row>
    <row r="278" spans="1:22">
      <c r="A278">
        <v>10293</v>
      </c>
      <c r="B278" s="7" t="s">
        <v>346</v>
      </c>
      <c r="C278" s="14" t="s">
        <v>147</v>
      </c>
      <c r="D278" s="14" t="s">
        <v>36</v>
      </c>
      <c r="E278" s="14" t="s">
        <v>58</v>
      </c>
      <c r="F278" s="14" t="s">
        <v>55</v>
      </c>
      <c r="G278" s="14" t="s">
        <v>66</v>
      </c>
      <c r="H278" s="14">
        <v>13</v>
      </c>
      <c r="I278" s="2">
        <v>380</v>
      </c>
      <c r="J278" s="3">
        <v>5</v>
      </c>
      <c r="K278" s="2">
        <v>4693</v>
      </c>
      <c r="L278" s="2">
        <v>3332</v>
      </c>
      <c r="M278" s="2">
        <v>1361</v>
      </c>
      <c r="N278" s="14" t="s">
        <v>41</v>
      </c>
      <c r="O278" s="14">
        <v>5</v>
      </c>
      <c r="V278" s="2"/>
    </row>
    <row r="279" spans="1:22">
      <c r="A279">
        <v>10294</v>
      </c>
      <c r="B279" s="7" t="s">
        <v>347</v>
      </c>
      <c r="C279" s="14" t="s">
        <v>135</v>
      </c>
      <c r="D279" s="14" t="s">
        <v>39</v>
      </c>
      <c r="E279" s="14" t="s">
        <v>58</v>
      </c>
      <c r="F279" s="14" t="s">
        <v>43</v>
      </c>
      <c r="G279" s="14" t="s">
        <v>72</v>
      </c>
      <c r="H279" s="14">
        <v>5</v>
      </c>
      <c r="I279" s="2">
        <v>1500</v>
      </c>
      <c r="J279" s="3">
        <v>10</v>
      </c>
      <c r="K279" s="2">
        <v>6750</v>
      </c>
      <c r="L279" s="2">
        <v>4050</v>
      </c>
      <c r="M279" s="2">
        <v>2700</v>
      </c>
      <c r="N279" s="14" t="s">
        <v>41</v>
      </c>
      <c r="O279" s="14">
        <v>5</v>
      </c>
      <c r="V279" s="2"/>
    </row>
    <row r="280" spans="1:22">
      <c r="A280">
        <v>10295</v>
      </c>
      <c r="B280" s="7" t="s">
        <v>196</v>
      </c>
      <c r="C280" s="14" t="s">
        <v>128</v>
      </c>
      <c r="D280" s="14" t="s">
        <v>45</v>
      </c>
      <c r="E280" s="14" t="s">
        <v>61</v>
      </c>
      <c r="F280" s="14" t="s">
        <v>51</v>
      </c>
      <c r="G280" s="14" t="s">
        <v>72</v>
      </c>
      <c r="H280" s="14">
        <v>5</v>
      </c>
      <c r="I280" s="2">
        <v>310</v>
      </c>
      <c r="J280" s="3">
        <v>0</v>
      </c>
      <c r="K280" s="2">
        <v>1550</v>
      </c>
      <c r="L280" s="2">
        <v>1178</v>
      </c>
      <c r="M280" s="2">
        <v>372</v>
      </c>
      <c r="N280" s="14" t="s">
        <v>47</v>
      </c>
      <c r="O280" s="14">
        <v>5</v>
      </c>
      <c r="V280" s="2"/>
    </row>
    <row r="281" spans="1:22">
      <c r="A281">
        <v>10296</v>
      </c>
      <c r="B281" s="7" t="s">
        <v>348</v>
      </c>
      <c r="C281" s="14" t="s">
        <v>141</v>
      </c>
      <c r="D281" s="14" t="s">
        <v>36</v>
      </c>
      <c r="E281" s="14" t="s">
        <v>56</v>
      </c>
      <c r="F281" s="14" t="s">
        <v>57</v>
      </c>
      <c r="G281" s="14" t="s">
        <v>68</v>
      </c>
      <c r="H281" s="14">
        <v>4</v>
      </c>
      <c r="I281" s="2">
        <v>1750</v>
      </c>
      <c r="J281" s="3">
        <v>0</v>
      </c>
      <c r="K281" s="2">
        <v>7000</v>
      </c>
      <c r="L281" s="2">
        <v>4620</v>
      </c>
      <c r="M281" s="2">
        <v>2380</v>
      </c>
      <c r="N281" s="14" t="s">
        <v>47</v>
      </c>
      <c r="O281" s="14">
        <v>3</v>
      </c>
      <c r="V281" s="2"/>
    </row>
    <row r="282" spans="1:22">
      <c r="A282">
        <v>10297</v>
      </c>
      <c r="B282" s="7" t="s">
        <v>300</v>
      </c>
      <c r="C282" s="14" t="s">
        <v>141</v>
      </c>
      <c r="D282" s="14" t="s">
        <v>45</v>
      </c>
      <c r="E282" s="14" t="s">
        <v>61</v>
      </c>
      <c r="F282" s="14" t="s">
        <v>117</v>
      </c>
      <c r="G282" s="14" t="s">
        <v>70</v>
      </c>
      <c r="H282" s="14">
        <v>8</v>
      </c>
      <c r="I282" s="2">
        <v>1190</v>
      </c>
      <c r="J282" s="3">
        <v>10</v>
      </c>
      <c r="K282" s="2">
        <v>8568</v>
      </c>
      <c r="L282" s="2">
        <v>6254</v>
      </c>
      <c r="M282" s="2">
        <v>2314</v>
      </c>
      <c r="N282" s="14" t="s">
        <v>47</v>
      </c>
      <c r="O282" s="14">
        <v>2</v>
      </c>
      <c r="V282" s="2"/>
    </row>
    <row r="283" spans="1:22">
      <c r="A283">
        <v>10298</v>
      </c>
      <c r="B283" s="7" t="s">
        <v>324</v>
      </c>
      <c r="C283" s="14" t="s">
        <v>147</v>
      </c>
      <c r="D283" s="14" t="s">
        <v>42</v>
      </c>
      <c r="E283" s="14" t="s">
        <v>61</v>
      </c>
      <c r="F283" s="14" t="s">
        <v>46</v>
      </c>
      <c r="G283" s="14" t="s">
        <v>64</v>
      </c>
      <c r="H283" s="14">
        <v>7</v>
      </c>
      <c r="I283" s="2">
        <v>1060</v>
      </c>
      <c r="J283" s="3">
        <v>15</v>
      </c>
      <c r="K283" s="2">
        <v>6307</v>
      </c>
      <c r="L283" s="2">
        <v>4982</v>
      </c>
      <c r="M283" s="2">
        <v>1325</v>
      </c>
      <c r="N283" s="14" t="s">
        <v>41</v>
      </c>
      <c r="O283" s="14">
        <v>4</v>
      </c>
      <c r="V283" s="2"/>
    </row>
    <row r="284" spans="1:22">
      <c r="A284">
        <v>10299</v>
      </c>
      <c r="B284" s="7" t="s">
        <v>349</v>
      </c>
      <c r="C284" s="14" t="s">
        <v>147</v>
      </c>
      <c r="D284" s="14" t="s">
        <v>39</v>
      </c>
      <c r="E284" s="14" t="s">
        <v>61</v>
      </c>
      <c r="F284" s="14" t="s">
        <v>51</v>
      </c>
      <c r="G284" s="14" t="s">
        <v>74</v>
      </c>
      <c r="H284" s="14">
        <v>14</v>
      </c>
      <c r="I284" s="2">
        <v>1460</v>
      </c>
      <c r="J284" s="3">
        <v>10</v>
      </c>
      <c r="K284" s="2">
        <v>18396</v>
      </c>
      <c r="L284" s="2">
        <v>15636</v>
      </c>
      <c r="M284" s="2">
        <v>2760</v>
      </c>
      <c r="N284" s="14" t="s">
        <v>44</v>
      </c>
      <c r="O284" s="14">
        <v>1</v>
      </c>
      <c r="V284" s="2"/>
    </row>
    <row r="285" spans="1:22">
      <c r="A285">
        <v>10300</v>
      </c>
      <c r="B285" s="7" t="s">
        <v>350</v>
      </c>
      <c r="C285" s="14" t="s">
        <v>125</v>
      </c>
      <c r="D285" s="14" t="s">
        <v>36</v>
      </c>
      <c r="E285" s="14" t="s">
        <v>56</v>
      </c>
      <c r="F285" s="14" t="s">
        <v>49</v>
      </c>
      <c r="G285" s="14" t="s">
        <v>74</v>
      </c>
      <c r="H285" s="14">
        <v>14</v>
      </c>
      <c r="I285" s="2">
        <v>790</v>
      </c>
      <c r="J285" s="3">
        <v>10</v>
      </c>
      <c r="K285" s="2">
        <v>9954</v>
      </c>
      <c r="L285" s="2">
        <v>8261</v>
      </c>
      <c r="M285" s="2">
        <v>1693</v>
      </c>
      <c r="N285" s="14" t="s">
        <v>38</v>
      </c>
      <c r="O285" s="14">
        <v>3</v>
      </c>
      <c r="V285" s="2"/>
    </row>
    <row r="286" spans="1:22">
      <c r="A286">
        <v>10301</v>
      </c>
      <c r="B286" s="7" t="s">
        <v>296</v>
      </c>
      <c r="C286" s="14" t="s">
        <v>125</v>
      </c>
      <c r="D286" s="14" t="s">
        <v>39</v>
      </c>
      <c r="E286" s="14" t="s">
        <v>56</v>
      </c>
      <c r="F286" s="14" t="s">
        <v>131</v>
      </c>
      <c r="G286" s="14" t="s">
        <v>66</v>
      </c>
      <c r="H286" s="14">
        <v>8</v>
      </c>
      <c r="I286" s="2">
        <v>1880</v>
      </c>
      <c r="J286" s="3">
        <v>15</v>
      </c>
      <c r="K286" s="2">
        <v>12784</v>
      </c>
      <c r="L286" s="2">
        <v>10482</v>
      </c>
      <c r="M286" s="2">
        <v>2302</v>
      </c>
      <c r="N286" s="14" t="s">
        <v>47</v>
      </c>
      <c r="O286" s="14">
        <v>5</v>
      </c>
      <c r="V286" s="2"/>
    </row>
    <row r="287" spans="1:22">
      <c r="A287">
        <v>10302</v>
      </c>
      <c r="B287" s="7" t="s">
        <v>351</v>
      </c>
      <c r="C287" s="14" t="s">
        <v>111</v>
      </c>
      <c r="D287" s="14" t="s">
        <v>45</v>
      </c>
      <c r="E287" s="14" t="s">
        <v>56</v>
      </c>
      <c r="F287" s="14" t="s">
        <v>50</v>
      </c>
      <c r="G287" s="14" t="s">
        <v>66</v>
      </c>
      <c r="H287" s="14">
        <v>12</v>
      </c>
      <c r="I287" s="2">
        <v>510</v>
      </c>
      <c r="J287" s="3">
        <v>0</v>
      </c>
      <c r="K287" s="2">
        <v>6120</v>
      </c>
      <c r="L287" s="2">
        <v>3855</v>
      </c>
      <c r="M287" s="2">
        <v>2265</v>
      </c>
      <c r="N287" s="14" t="s">
        <v>41</v>
      </c>
      <c r="O287" s="14">
        <v>3</v>
      </c>
      <c r="V287" s="2"/>
    </row>
    <row r="288" spans="1:22">
      <c r="A288">
        <v>10303</v>
      </c>
      <c r="B288" s="7" t="s">
        <v>186</v>
      </c>
      <c r="C288" s="14" t="s">
        <v>141</v>
      </c>
      <c r="D288" s="14" t="s">
        <v>39</v>
      </c>
      <c r="E288" s="14" t="s">
        <v>56</v>
      </c>
      <c r="F288" s="14" t="s">
        <v>49</v>
      </c>
      <c r="G288" s="14" t="s">
        <v>68</v>
      </c>
      <c r="H288" s="14">
        <v>2</v>
      </c>
      <c r="I288" s="2">
        <v>840</v>
      </c>
      <c r="J288" s="3">
        <v>5</v>
      </c>
      <c r="K288" s="2">
        <v>1596</v>
      </c>
      <c r="L288" s="2">
        <v>957</v>
      </c>
      <c r="M288" s="2">
        <v>639</v>
      </c>
      <c r="N288" s="14" t="s">
        <v>41</v>
      </c>
      <c r="O288" s="14">
        <v>3</v>
      </c>
      <c r="V288" s="2"/>
    </row>
    <row r="289" spans="1:22">
      <c r="A289">
        <v>10304</v>
      </c>
      <c r="B289" s="7" t="s">
        <v>278</v>
      </c>
      <c r="C289" s="14" t="s">
        <v>120</v>
      </c>
      <c r="D289" s="14" t="s">
        <v>36</v>
      </c>
      <c r="E289" s="14" t="s">
        <v>58</v>
      </c>
      <c r="F289" s="14" t="s">
        <v>40</v>
      </c>
      <c r="G289" s="14" t="s">
        <v>74</v>
      </c>
      <c r="H289" s="14">
        <v>11</v>
      </c>
      <c r="I289" s="2">
        <v>1490</v>
      </c>
      <c r="J289" s="3">
        <v>10</v>
      </c>
      <c r="K289" s="2">
        <v>14751</v>
      </c>
      <c r="L289" s="2">
        <v>10768</v>
      </c>
      <c r="M289" s="2">
        <v>3983</v>
      </c>
      <c r="N289" s="14" t="s">
        <v>41</v>
      </c>
      <c r="O289" s="14">
        <v>3</v>
      </c>
      <c r="V289" s="2"/>
    </row>
    <row r="290" spans="1:22">
      <c r="A290">
        <v>10305</v>
      </c>
      <c r="B290" s="7" t="s">
        <v>352</v>
      </c>
      <c r="C290" s="14" t="s">
        <v>137</v>
      </c>
      <c r="D290" s="14" t="s">
        <v>45</v>
      </c>
      <c r="E290" s="14" t="s">
        <v>56</v>
      </c>
      <c r="F290" s="14" t="s">
        <v>131</v>
      </c>
      <c r="G290" s="14" t="s">
        <v>72</v>
      </c>
      <c r="H290" s="14">
        <v>14</v>
      </c>
      <c r="I290" s="2">
        <v>1060</v>
      </c>
      <c r="J290" s="3">
        <v>0</v>
      </c>
      <c r="K290" s="2">
        <v>14840</v>
      </c>
      <c r="L290" s="2">
        <v>8755</v>
      </c>
      <c r="M290" s="2">
        <v>6085</v>
      </c>
      <c r="N290" s="14" t="s">
        <v>47</v>
      </c>
      <c r="O290" s="14">
        <v>4</v>
      </c>
      <c r="V290" s="2"/>
    </row>
    <row r="291" spans="1:22">
      <c r="A291">
        <v>10306</v>
      </c>
      <c r="B291" s="7" t="s">
        <v>353</v>
      </c>
      <c r="C291" s="14" t="s">
        <v>141</v>
      </c>
      <c r="D291" s="14" t="s">
        <v>45</v>
      </c>
      <c r="E291" s="14" t="s">
        <v>58</v>
      </c>
      <c r="F291" s="14" t="s">
        <v>43</v>
      </c>
      <c r="G291" s="14" t="s">
        <v>66</v>
      </c>
      <c r="H291" s="14">
        <v>9</v>
      </c>
      <c r="I291" s="2">
        <v>1120</v>
      </c>
      <c r="J291" s="3">
        <v>0</v>
      </c>
      <c r="K291" s="2">
        <v>10080</v>
      </c>
      <c r="L291" s="2">
        <v>5947</v>
      </c>
      <c r="M291" s="2">
        <v>4133</v>
      </c>
      <c r="N291" s="14" t="s">
        <v>38</v>
      </c>
      <c r="O291" s="14">
        <v>1</v>
      </c>
      <c r="V291" s="2"/>
    </row>
    <row r="292" spans="1:22">
      <c r="A292">
        <v>10307</v>
      </c>
      <c r="B292" s="7" t="s">
        <v>354</v>
      </c>
      <c r="C292" s="14" t="s">
        <v>116</v>
      </c>
      <c r="D292" s="14" t="s">
        <v>45</v>
      </c>
      <c r="E292" s="14" t="s">
        <v>56</v>
      </c>
      <c r="F292" s="14" t="s">
        <v>150</v>
      </c>
      <c r="G292" s="14" t="s">
        <v>68</v>
      </c>
      <c r="H292" s="14">
        <v>12</v>
      </c>
      <c r="I292" s="2">
        <v>280</v>
      </c>
      <c r="J292" s="3">
        <v>5</v>
      </c>
      <c r="K292" s="2">
        <v>3192</v>
      </c>
      <c r="L292" s="2">
        <v>2266</v>
      </c>
      <c r="M292" s="2">
        <v>926</v>
      </c>
      <c r="N292" s="14" t="s">
        <v>47</v>
      </c>
      <c r="O292" s="14">
        <v>5</v>
      </c>
      <c r="V292" s="2"/>
    </row>
    <row r="293" spans="1:22">
      <c r="A293">
        <v>10308</v>
      </c>
      <c r="B293" s="7" t="s">
        <v>355</v>
      </c>
      <c r="C293" s="14" t="s">
        <v>120</v>
      </c>
      <c r="D293" s="14" t="s">
        <v>36</v>
      </c>
      <c r="E293" s="14" t="s">
        <v>56</v>
      </c>
      <c r="F293" s="14" t="s">
        <v>49</v>
      </c>
      <c r="G293" s="14" t="s">
        <v>74</v>
      </c>
      <c r="H293" s="14">
        <v>2</v>
      </c>
      <c r="I293" s="2">
        <v>320</v>
      </c>
      <c r="J293" s="3">
        <v>20</v>
      </c>
      <c r="K293" s="2">
        <v>512</v>
      </c>
      <c r="L293" s="2">
        <v>384</v>
      </c>
      <c r="M293" s="2">
        <v>128</v>
      </c>
      <c r="N293" s="14" t="s">
        <v>41</v>
      </c>
      <c r="O293" s="14">
        <v>1</v>
      </c>
      <c r="V293" s="2"/>
    </row>
    <row r="294" spans="1:22">
      <c r="A294">
        <v>10310</v>
      </c>
      <c r="B294" s="7" t="s">
        <v>356</v>
      </c>
      <c r="C294" s="14" t="s">
        <v>137</v>
      </c>
      <c r="D294" s="14" t="s">
        <v>39</v>
      </c>
      <c r="E294" s="14" t="s">
        <v>61</v>
      </c>
      <c r="F294" s="14" t="s">
        <v>117</v>
      </c>
      <c r="G294" s="14" t="s">
        <v>72</v>
      </c>
      <c r="H294" s="14">
        <v>5</v>
      </c>
      <c r="I294" s="2">
        <v>1370</v>
      </c>
      <c r="J294" s="3">
        <v>15</v>
      </c>
      <c r="K294" s="2">
        <v>5822.5</v>
      </c>
      <c r="L294" s="2">
        <v>4716</v>
      </c>
      <c r="M294" s="2">
        <v>1106.5</v>
      </c>
      <c r="N294" s="14" t="s">
        <v>38</v>
      </c>
      <c r="O294" s="14">
        <v>3</v>
      </c>
      <c r="V294" s="2"/>
    </row>
    <row r="295" spans="1:22">
      <c r="A295">
        <v>10312</v>
      </c>
      <c r="B295" s="7" t="s">
        <v>305</v>
      </c>
      <c r="C295" s="14" t="s">
        <v>141</v>
      </c>
      <c r="D295" s="14" t="s">
        <v>45</v>
      </c>
      <c r="E295" s="14" t="s">
        <v>61</v>
      </c>
      <c r="F295" s="14" t="s">
        <v>143</v>
      </c>
      <c r="G295" s="14" t="s">
        <v>70</v>
      </c>
      <c r="H295" s="14">
        <v>11</v>
      </c>
      <c r="I295" s="2">
        <v>580</v>
      </c>
      <c r="J295" s="3">
        <v>15</v>
      </c>
      <c r="K295" s="2">
        <v>5423</v>
      </c>
      <c r="L295" s="2">
        <v>3524</v>
      </c>
      <c r="M295" s="2">
        <v>1899</v>
      </c>
      <c r="N295" s="14" t="s">
        <v>44</v>
      </c>
      <c r="O295" s="14">
        <v>3</v>
      </c>
      <c r="V295" s="2"/>
    </row>
    <row r="296" spans="1:22">
      <c r="A296">
        <v>10313</v>
      </c>
      <c r="B296" s="7" t="s">
        <v>210</v>
      </c>
      <c r="C296" s="14" t="s">
        <v>147</v>
      </c>
      <c r="D296" s="14" t="s">
        <v>36</v>
      </c>
      <c r="E296" s="14" t="s">
        <v>61</v>
      </c>
      <c r="F296" s="14" t="s">
        <v>46</v>
      </c>
      <c r="G296" s="14" t="s">
        <v>74</v>
      </c>
      <c r="H296" s="14">
        <v>10</v>
      </c>
      <c r="I296" s="2">
        <v>810</v>
      </c>
      <c r="J296" s="3">
        <v>10</v>
      </c>
      <c r="K296" s="2">
        <v>7290</v>
      </c>
      <c r="L296" s="2">
        <v>4374</v>
      </c>
      <c r="M296" s="2">
        <v>2916</v>
      </c>
      <c r="N296" s="14" t="s">
        <v>41</v>
      </c>
      <c r="O296" s="14">
        <v>1</v>
      </c>
      <c r="V296" s="2"/>
    </row>
    <row r="297" spans="1:22">
      <c r="A297">
        <v>10314</v>
      </c>
      <c r="B297" s="7" t="s">
        <v>357</v>
      </c>
      <c r="C297" s="14" t="s">
        <v>130</v>
      </c>
      <c r="D297" s="14" t="s">
        <v>39</v>
      </c>
      <c r="E297" s="14" t="s">
        <v>61</v>
      </c>
      <c r="F297" s="14" t="s">
        <v>143</v>
      </c>
      <c r="G297" s="14" t="s">
        <v>64</v>
      </c>
      <c r="H297" s="14">
        <v>15</v>
      </c>
      <c r="I297" s="2">
        <v>1650</v>
      </c>
      <c r="J297" s="3">
        <v>10</v>
      </c>
      <c r="K297" s="2">
        <v>22275</v>
      </c>
      <c r="L297" s="2">
        <v>17151</v>
      </c>
      <c r="M297" s="2">
        <v>5124</v>
      </c>
      <c r="N297" s="14" t="s">
        <v>38</v>
      </c>
      <c r="O297" s="14">
        <v>4</v>
      </c>
      <c r="V297" s="2"/>
    </row>
    <row r="298" spans="1:22">
      <c r="A298">
        <v>10315</v>
      </c>
      <c r="B298" s="7" t="s">
        <v>149</v>
      </c>
      <c r="C298" s="14" t="s">
        <v>135</v>
      </c>
      <c r="D298" s="14" t="s">
        <v>42</v>
      </c>
      <c r="E298" s="14" t="s">
        <v>61</v>
      </c>
      <c r="F298" s="14" t="s">
        <v>46</v>
      </c>
      <c r="G298" s="14" t="s">
        <v>74</v>
      </c>
      <c r="H298" s="14">
        <v>6</v>
      </c>
      <c r="I298" s="2">
        <v>920</v>
      </c>
      <c r="J298" s="3">
        <v>15</v>
      </c>
      <c r="K298" s="2">
        <v>4692</v>
      </c>
      <c r="L298" s="2">
        <v>3847</v>
      </c>
      <c r="M298" s="2">
        <v>845</v>
      </c>
      <c r="N298" s="14" t="s">
        <v>41</v>
      </c>
      <c r="O298" s="14">
        <v>2</v>
      </c>
      <c r="V298" s="2"/>
    </row>
    <row r="299" spans="1:22">
      <c r="A299">
        <v>10316</v>
      </c>
      <c r="B299" s="7" t="s">
        <v>358</v>
      </c>
      <c r="C299" s="14" t="s">
        <v>128</v>
      </c>
      <c r="D299" s="14" t="s">
        <v>42</v>
      </c>
      <c r="E299" s="14" t="s">
        <v>58</v>
      </c>
      <c r="F299" s="14" t="s">
        <v>40</v>
      </c>
      <c r="G299" s="14" t="s">
        <v>64</v>
      </c>
      <c r="H299" s="14">
        <v>14</v>
      </c>
      <c r="I299" s="2">
        <v>1050</v>
      </c>
      <c r="J299" s="3">
        <v>0</v>
      </c>
      <c r="K299" s="2">
        <v>14700</v>
      </c>
      <c r="L299" s="2">
        <v>11025</v>
      </c>
      <c r="M299" s="2">
        <v>3675</v>
      </c>
      <c r="N299" s="14" t="s">
        <v>47</v>
      </c>
      <c r="O299" s="14">
        <v>4</v>
      </c>
      <c r="V299" s="2"/>
    </row>
    <row r="300" spans="1:22">
      <c r="A300">
        <v>10317</v>
      </c>
      <c r="B300" s="7" t="s">
        <v>359</v>
      </c>
      <c r="C300" s="14" t="s">
        <v>116</v>
      </c>
      <c r="D300" s="14" t="s">
        <v>42</v>
      </c>
      <c r="E300" s="14" t="s">
        <v>61</v>
      </c>
      <c r="F300" s="14" t="s">
        <v>46</v>
      </c>
      <c r="G300" s="14" t="s">
        <v>66</v>
      </c>
      <c r="H300" s="14">
        <v>12</v>
      </c>
      <c r="I300" s="2">
        <v>1440</v>
      </c>
      <c r="J300" s="3">
        <v>0</v>
      </c>
      <c r="K300" s="2">
        <v>17280</v>
      </c>
      <c r="L300" s="2">
        <v>11923</v>
      </c>
      <c r="M300" s="2">
        <v>5357</v>
      </c>
      <c r="N300" s="14" t="s">
        <v>41</v>
      </c>
      <c r="O300" s="14">
        <v>5</v>
      </c>
      <c r="V300" s="2"/>
    </row>
    <row r="301" spans="1:22">
      <c r="A301">
        <v>10318</v>
      </c>
      <c r="B301" s="7" t="s">
        <v>360</v>
      </c>
      <c r="C301" s="14" t="s">
        <v>147</v>
      </c>
      <c r="D301" s="14" t="s">
        <v>45</v>
      </c>
      <c r="E301" s="14" t="s">
        <v>58</v>
      </c>
      <c r="F301" s="14" t="s">
        <v>43</v>
      </c>
      <c r="G301" s="14" t="s">
        <v>74</v>
      </c>
      <c r="H301" s="14">
        <v>2</v>
      </c>
      <c r="I301" s="2">
        <v>1860</v>
      </c>
      <c r="J301" s="3">
        <v>20</v>
      </c>
      <c r="K301" s="2">
        <v>2976</v>
      </c>
      <c r="L301" s="2">
        <v>2023</v>
      </c>
      <c r="M301" s="2">
        <v>953</v>
      </c>
      <c r="N301" s="14" t="s">
        <v>41</v>
      </c>
      <c r="O301" s="14">
        <v>1</v>
      </c>
      <c r="V301" s="2"/>
    </row>
    <row r="302" spans="1:22">
      <c r="A302">
        <v>10319</v>
      </c>
      <c r="B302" s="7" t="s">
        <v>361</v>
      </c>
      <c r="C302" s="14" t="s">
        <v>128</v>
      </c>
      <c r="D302" s="14" t="s">
        <v>45</v>
      </c>
      <c r="E302" s="14" t="s">
        <v>61</v>
      </c>
      <c r="F302" s="14" t="s">
        <v>52</v>
      </c>
      <c r="G302" s="14" t="s">
        <v>66</v>
      </c>
      <c r="H302" s="14">
        <v>15</v>
      </c>
      <c r="I302" s="2">
        <v>550</v>
      </c>
      <c r="J302" s="3">
        <v>10</v>
      </c>
      <c r="K302" s="2">
        <v>7425</v>
      </c>
      <c r="L302" s="2">
        <v>5049</v>
      </c>
      <c r="M302" s="2">
        <v>2376</v>
      </c>
      <c r="N302" s="14" t="s">
        <v>41</v>
      </c>
      <c r="O302" s="14">
        <v>5</v>
      </c>
      <c r="V302" s="2"/>
    </row>
    <row r="303" spans="1:22">
      <c r="A303">
        <v>10320</v>
      </c>
      <c r="B303" s="7" t="s">
        <v>362</v>
      </c>
      <c r="C303" s="14" t="s">
        <v>135</v>
      </c>
      <c r="D303" s="14" t="s">
        <v>39</v>
      </c>
      <c r="E303" s="14" t="s">
        <v>58</v>
      </c>
      <c r="F303" s="14" t="s">
        <v>55</v>
      </c>
      <c r="G303" s="14" t="s">
        <v>74</v>
      </c>
      <c r="H303" s="14">
        <v>13</v>
      </c>
      <c r="I303" s="2">
        <v>680</v>
      </c>
      <c r="J303" s="3">
        <v>15</v>
      </c>
      <c r="K303" s="2">
        <v>7514</v>
      </c>
      <c r="L303" s="2">
        <v>4207</v>
      </c>
      <c r="M303" s="2">
        <v>3307</v>
      </c>
      <c r="N303" s="14" t="s">
        <v>47</v>
      </c>
      <c r="O303" s="14">
        <v>2</v>
      </c>
      <c r="V303" s="2"/>
    </row>
    <row r="304" spans="1:22">
      <c r="A304">
        <v>10321</v>
      </c>
      <c r="B304" s="7" t="s">
        <v>363</v>
      </c>
      <c r="C304" s="14" t="s">
        <v>125</v>
      </c>
      <c r="D304" s="14" t="s">
        <v>45</v>
      </c>
      <c r="E304" s="14" t="s">
        <v>58</v>
      </c>
      <c r="F304" s="14" t="s">
        <v>40</v>
      </c>
      <c r="G304" s="14" t="s">
        <v>68</v>
      </c>
      <c r="H304" s="14">
        <v>15</v>
      </c>
      <c r="I304" s="2">
        <v>1400</v>
      </c>
      <c r="J304" s="3">
        <v>5</v>
      </c>
      <c r="K304" s="2">
        <v>19950</v>
      </c>
      <c r="L304" s="2">
        <v>12768</v>
      </c>
      <c r="M304" s="2">
        <v>7182</v>
      </c>
      <c r="N304" s="14" t="s">
        <v>47</v>
      </c>
      <c r="O304" s="14">
        <v>5</v>
      </c>
      <c r="V304" s="2"/>
    </row>
    <row r="305" spans="1:22">
      <c r="A305">
        <v>10322</v>
      </c>
      <c r="B305" s="7" t="s">
        <v>364</v>
      </c>
      <c r="C305" s="14" t="s">
        <v>147</v>
      </c>
      <c r="D305" s="14" t="s">
        <v>39</v>
      </c>
      <c r="E305" s="14" t="s">
        <v>56</v>
      </c>
      <c r="F305" s="14" t="s">
        <v>131</v>
      </c>
      <c r="G305" s="14" t="s">
        <v>72</v>
      </c>
      <c r="H305" s="14">
        <v>4</v>
      </c>
      <c r="I305" s="2">
        <v>720</v>
      </c>
      <c r="J305" s="3">
        <v>0</v>
      </c>
      <c r="K305" s="2">
        <v>2880</v>
      </c>
      <c r="L305" s="2">
        <v>1814</v>
      </c>
      <c r="M305" s="2">
        <v>1066</v>
      </c>
      <c r="N305" s="14" t="s">
        <v>47</v>
      </c>
      <c r="O305" s="14">
        <v>5</v>
      </c>
      <c r="V305" s="2"/>
    </row>
    <row r="306" spans="1:22">
      <c r="A306">
        <v>10323</v>
      </c>
      <c r="B306" s="7" t="s">
        <v>194</v>
      </c>
      <c r="C306" s="14" t="s">
        <v>141</v>
      </c>
      <c r="D306" s="14" t="s">
        <v>45</v>
      </c>
      <c r="E306" s="14" t="s">
        <v>61</v>
      </c>
      <c r="F306" s="14" t="s">
        <v>143</v>
      </c>
      <c r="G306" s="14" t="s">
        <v>68</v>
      </c>
      <c r="H306" s="14">
        <v>9</v>
      </c>
      <c r="I306" s="2">
        <v>1010</v>
      </c>
      <c r="J306" s="3">
        <v>20</v>
      </c>
      <c r="K306" s="2">
        <v>7272</v>
      </c>
      <c r="L306" s="2">
        <v>4654</v>
      </c>
      <c r="M306" s="2">
        <v>2618</v>
      </c>
      <c r="N306" s="14" t="s">
        <v>38</v>
      </c>
      <c r="O306" s="14">
        <v>3</v>
      </c>
      <c r="V306" s="2"/>
    </row>
    <row r="307" spans="1:22">
      <c r="A307">
        <v>10324</v>
      </c>
      <c r="B307" s="7" t="s">
        <v>152</v>
      </c>
      <c r="C307" s="14" t="s">
        <v>130</v>
      </c>
      <c r="D307" s="14" t="s">
        <v>42</v>
      </c>
      <c r="E307" s="14" t="s">
        <v>56</v>
      </c>
      <c r="F307" s="14" t="s">
        <v>49</v>
      </c>
      <c r="G307" s="14" t="s">
        <v>68</v>
      </c>
      <c r="H307" s="14">
        <v>7</v>
      </c>
      <c r="I307" s="2">
        <v>1560</v>
      </c>
      <c r="J307" s="3">
        <v>10</v>
      </c>
      <c r="K307" s="2">
        <v>9828</v>
      </c>
      <c r="L307" s="2">
        <v>6289</v>
      </c>
      <c r="M307" s="2">
        <v>3539</v>
      </c>
      <c r="N307" s="14" t="s">
        <v>41</v>
      </c>
      <c r="O307" s="14">
        <v>5</v>
      </c>
      <c r="V307" s="2"/>
    </row>
    <row r="308" spans="1:22">
      <c r="A308">
        <v>10325</v>
      </c>
      <c r="B308" s="7" t="s">
        <v>138</v>
      </c>
      <c r="C308" s="14" t="s">
        <v>116</v>
      </c>
      <c r="D308" s="14" t="s">
        <v>36</v>
      </c>
      <c r="E308" s="14" t="s">
        <v>61</v>
      </c>
      <c r="F308" s="14" t="s">
        <v>52</v>
      </c>
      <c r="G308" s="14" t="s">
        <v>70</v>
      </c>
      <c r="H308" s="14">
        <v>4</v>
      </c>
      <c r="I308" s="2">
        <v>1540</v>
      </c>
      <c r="J308" s="3">
        <v>10</v>
      </c>
      <c r="K308" s="2">
        <v>5544</v>
      </c>
      <c r="L308" s="2">
        <v>4158</v>
      </c>
      <c r="M308" s="2">
        <v>1386</v>
      </c>
      <c r="N308" s="14" t="s">
        <v>38</v>
      </c>
      <c r="O308" s="14">
        <v>3</v>
      </c>
      <c r="V308" s="2"/>
    </row>
    <row r="309" spans="1:22">
      <c r="A309">
        <v>10326</v>
      </c>
      <c r="B309" s="7" t="s">
        <v>122</v>
      </c>
      <c r="C309" s="14" t="s">
        <v>128</v>
      </c>
      <c r="D309" s="14" t="s">
        <v>42</v>
      </c>
      <c r="E309" s="14" t="s">
        <v>61</v>
      </c>
      <c r="F309" s="14" t="s">
        <v>117</v>
      </c>
      <c r="G309" s="14" t="s">
        <v>64</v>
      </c>
      <c r="H309" s="14">
        <v>4</v>
      </c>
      <c r="I309" s="2">
        <v>1620</v>
      </c>
      <c r="J309" s="3">
        <v>10</v>
      </c>
      <c r="K309" s="2">
        <v>5832</v>
      </c>
      <c r="L309" s="2">
        <v>3732</v>
      </c>
      <c r="M309" s="2">
        <v>2100</v>
      </c>
      <c r="N309" s="14" t="s">
        <v>44</v>
      </c>
      <c r="O309" s="14">
        <v>4</v>
      </c>
      <c r="V309" s="2"/>
    </row>
    <row r="310" spans="1:22">
      <c r="A310">
        <v>10327</v>
      </c>
      <c r="B310" s="7" t="s">
        <v>365</v>
      </c>
      <c r="C310" s="14" t="s">
        <v>111</v>
      </c>
      <c r="D310" s="14" t="s">
        <v>39</v>
      </c>
      <c r="E310" s="14" t="s">
        <v>61</v>
      </c>
      <c r="F310" s="14" t="s">
        <v>51</v>
      </c>
      <c r="G310" s="14" t="s">
        <v>74</v>
      </c>
      <c r="H310" s="14">
        <v>5</v>
      </c>
      <c r="I310" s="2">
        <v>850</v>
      </c>
      <c r="J310" s="3">
        <v>10</v>
      </c>
      <c r="K310" s="2">
        <v>3825</v>
      </c>
      <c r="L310" s="2">
        <v>2524</v>
      </c>
      <c r="M310" s="2">
        <v>1301</v>
      </c>
      <c r="N310" s="14" t="s">
        <v>44</v>
      </c>
      <c r="O310" s="14">
        <v>2</v>
      </c>
      <c r="V310" s="2"/>
    </row>
    <row r="311" spans="1:22">
      <c r="A311">
        <v>10328</v>
      </c>
      <c r="B311" s="7" t="s">
        <v>366</v>
      </c>
      <c r="C311" s="14" t="s">
        <v>116</v>
      </c>
      <c r="D311" s="14" t="s">
        <v>42</v>
      </c>
      <c r="E311" s="14" t="s">
        <v>56</v>
      </c>
      <c r="F311" s="14" t="s">
        <v>50</v>
      </c>
      <c r="G311" s="14" t="s">
        <v>64</v>
      </c>
      <c r="H311" s="14">
        <v>3</v>
      </c>
      <c r="I311" s="2">
        <v>1590</v>
      </c>
      <c r="J311" s="3">
        <v>0</v>
      </c>
      <c r="K311" s="2">
        <v>4770</v>
      </c>
      <c r="L311" s="2">
        <v>3291</v>
      </c>
      <c r="M311" s="2">
        <v>1479</v>
      </c>
      <c r="N311" s="14" t="s">
        <v>41</v>
      </c>
      <c r="O311" s="14">
        <v>2</v>
      </c>
      <c r="V311" s="2"/>
    </row>
    <row r="312" spans="1:22">
      <c r="A312">
        <v>10329</v>
      </c>
      <c r="B312" s="7" t="s">
        <v>367</v>
      </c>
      <c r="C312" s="14" t="s">
        <v>125</v>
      </c>
      <c r="D312" s="14" t="s">
        <v>39</v>
      </c>
      <c r="E312" s="14" t="s">
        <v>56</v>
      </c>
      <c r="F312" s="14" t="s">
        <v>57</v>
      </c>
      <c r="G312" s="14" t="s">
        <v>66</v>
      </c>
      <c r="H312" s="14">
        <v>4</v>
      </c>
      <c r="I312" s="2">
        <v>1840</v>
      </c>
      <c r="J312" s="3">
        <v>0</v>
      </c>
      <c r="K312" s="2">
        <v>7360</v>
      </c>
      <c r="L312" s="2">
        <v>4784</v>
      </c>
      <c r="M312" s="2">
        <v>2576</v>
      </c>
      <c r="N312" s="14" t="s">
        <v>44</v>
      </c>
      <c r="O312" s="14">
        <v>5</v>
      </c>
      <c r="V312" s="2"/>
    </row>
    <row r="313" spans="1:22">
      <c r="A313">
        <v>10330</v>
      </c>
      <c r="B313" s="7" t="s">
        <v>210</v>
      </c>
      <c r="C313" s="14" t="s">
        <v>141</v>
      </c>
      <c r="D313" s="14" t="s">
        <v>45</v>
      </c>
      <c r="E313" s="14" t="s">
        <v>58</v>
      </c>
      <c r="F313" s="14" t="s">
        <v>55</v>
      </c>
      <c r="G313" s="14" t="s">
        <v>74</v>
      </c>
      <c r="H313" s="14">
        <v>8</v>
      </c>
      <c r="I313" s="2">
        <v>610</v>
      </c>
      <c r="J313" s="3">
        <v>5</v>
      </c>
      <c r="K313" s="2">
        <v>4636</v>
      </c>
      <c r="L313" s="2">
        <v>2549</v>
      </c>
      <c r="M313" s="2">
        <v>2087</v>
      </c>
      <c r="N313" s="14" t="s">
        <v>41</v>
      </c>
      <c r="O313" s="14">
        <v>1</v>
      </c>
      <c r="V313" s="2"/>
    </row>
    <row r="314" spans="1:22">
      <c r="A314">
        <v>10331</v>
      </c>
      <c r="B314" s="7" t="s">
        <v>368</v>
      </c>
      <c r="C314" s="14" t="s">
        <v>141</v>
      </c>
      <c r="D314" s="14" t="s">
        <v>45</v>
      </c>
      <c r="E314" s="14" t="s">
        <v>58</v>
      </c>
      <c r="F314" s="14" t="s">
        <v>55</v>
      </c>
      <c r="G314" s="14" t="s">
        <v>66</v>
      </c>
      <c r="H314" s="14">
        <v>6</v>
      </c>
      <c r="I314" s="2">
        <v>1030</v>
      </c>
      <c r="J314" s="3">
        <v>0</v>
      </c>
      <c r="K314" s="2">
        <v>6180</v>
      </c>
      <c r="L314" s="2">
        <v>5253</v>
      </c>
      <c r="M314" s="2">
        <v>927</v>
      </c>
      <c r="N314" s="14" t="s">
        <v>44</v>
      </c>
      <c r="O314" s="14">
        <v>5</v>
      </c>
      <c r="V314" s="2"/>
    </row>
    <row r="315" spans="1:22">
      <c r="A315">
        <v>10332</v>
      </c>
      <c r="B315" s="7" t="s">
        <v>369</v>
      </c>
      <c r="C315" s="14" t="s">
        <v>125</v>
      </c>
      <c r="D315" s="14" t="s">
        <v>36</v>
      </c>
      <c r="E315" s="14" t="s">
        <v>58</v>
      </c>
      <c r="F315" s="14" t="s">
        <v>43</v>
      </c>
      <c r="G315" s="14" t="s">
        <v>70</v>
      </c>
      <c r="H315" s="14">
        <v>12</v>
      </c>
      <c r="I315" s="2">
        <v>960</v>
      </c>
      <c r="J315" s="3">
        <v>0</v>
      </c>
      <c r="K315" s="2">
        <v>11520</v>
      </c>
      <c r="L315" s="2">
        <v>8524</v>
      </c>
      <c r="M315" s="2">
        <v>2996</v>
      </c>
      <c r="N315" s="14" t="s">
        <v>38</v>
      </c>
      <c r="O315" s="14">
        <v>4</v>
      </c>
      <c r="V315" s="2"/>
    </row>
    <row r="316" spans="1:22">
      <c r="A316">
        <v>10333</v>
      </c>
      <c r="B316" s="7" t="s">
        <v>370</v>
      </c>
      <c r="C316" s="14" t="s">
        <v>147</v>
      </c>
      <c r="D316" s="14" t="s">
        <v>36</v>
      </c>
      <c r="E316" s="14" t="s">
        <v>58</v>
      </c>
      <c r="F316" s="14" t="s">
        <v>55</v>
      </c>
      <c r="G316" s="14" t="s">
        <v>66</v>
      </c>
      <c r="H316" s="14">
        <v>4</v>
      </c>
      <c r="I316" s="2">
        <v>710</v>
      </c>
      <c r="J316" s="3">
        <v>15</v>
      </c>
      <c r="K316" s="2">
        <v>2414</v>
      </c>
      <c r="L316" s="2">
        <v>1810</v>
      </c>
      <c r="M316" s="2">
        <v>604</v>
      </c>
      <c r="N316" s="14" t="s">
        <v>44</v>
      </c>
      <c r="O316" s="14">
        <v>4</v>
      </c>
      <c r="V316" s="2"/>
    </row>
    <row r="317" spans="1:22">
      <c r="A317">
        <v>10334</v>
      </c>
      <c r="B317" s="7" t="s">
        <v>371</v>
      </c>
      <c r="C317" s="14" t="s">
        <v>137</v>
      </c>
      <c r="D317" s="14" t="s">
        <v>39</v>
      </c>
      <c r="E317" s="14" t="s">
        <v>56</v>
      </c>
      <c r="F317" s="14" t="s">
        <v>57</v>
      </c>
      <c r="G317" s="14" t="s">
        <v>63</v>
      </c>
      <c r="H317" s="14">
        <v>15</v>
      </c>
      <c r="I317" s="2">
        <v>600</v>
      </c>
      <c r="J317" s="3">
        <v>10</v>
      </c>
      <c r="K317" s="2">
        <v>8100</v>
      </c>
      <c r="L317" s="2">
        <v>6075</v>
      </c>
      <c r="M317" s="2">
        <v>2025</v>
      </c>
      <c r="N317" s="14" t="s">
        <v>44</v>
      </c>
      <c r="O317" s="14">
        <v>1</v>
      </c>
      <c r="V317" s="2"/>
    </row>
    <row r="318" spans="1:22">
      <c r="A318">
        <v>10335</v>
      </c>
      <c r="B318" s="7" t="s">
        <v>260</v>
      </c>
      <c r="C318" s="14" t="s">
        <v>128</v>
      </c>
      <c r="D318" s="14" t="s">
        <v>39</v>
      </c>
      <c r="E318" s="14" t="s">
        <v>58</v>
      </c>
      <c r="F318" s="14" t="s">
        <v>37</v>
      </c>
      <c r="G318" s="14" t="s">
        <v>68</v>
      </c>
      <c r="H318" s="14">
        <v>4</v>
      </c>
      <c r="I318" s="2">
        <v>2000</v>
      </c>
      <c r="J318" s="3">
        <v>20</v>
      </c>
      <c r="K318" s="2">
        <v>6400</v>
      </c>
      <c r="L318" s="2">
        <v>5376</v>
      </c>
      <c r="M318" s="2">
        <v>1024</v>
      </c>
      <c r="N318" s="14" t="s">
        <v>41</v>
      </c>
      <c r="O318" s="14">
        <v>3</v>
      </c>
      <c r="V318" s="2"/>
    </row>
    <row r="319" spans="1:22">
      <c r="A319">
        <v>10336</v>
      </c>
      <c r="B319" s="7" t="s">
        <v>372</v>
      </c>
      <c r="C319" s="14" t="s">
        <v>120</v>
      </c>
      <c r="D319" s="14" t="s">
        <v>45</v>
      </c>
      <c r="E319" s="14" t="s">
        <v>58</v>
      </c>
      <c r="F319" s="14" t="s">
        <v>55</v>
      </c>
      <c r="G319" s="14" t="s">
        <v>70</v>
      </c>
      <c r="H319" s="14">
        <v>9</v>
      </c>
      <c r="I319" s="2">
        <v>1770</v>
      </c>
      <c r="J319" s="3">
        <v>5</v>
      </c>
      <c r="K319" s="2">
        <v>15133.5</v>
      </c>
      <c r="L319" s="2">
        <v>11501</v>
      </c>
      <c r="M319" s="2">
        <v>3632.5</v>
      </c>
      <c r="N319" s="14" t="s">
        <v>44</v>
      </c>
      <c r="O319" s="14">
        <v>4</v>
      </c>
      <c r="V319" s="2"/>
    </row>
    <row r="320" spans="1:22">
      <c r="A320">
        <v>10337</v>
      </c>
      <c r="B320" s="7" t="s">
        <v>373</v>
      </c>
      <c r="C320" s="14" t="s">
        <v>128</v>
      </c>
      <c r="D320" s="14" t="s">
        <v>42</v>
      </c>
      <c r="E320" s="14" t="s">
        <v>58</v>
      </c>
      <c r="F320" s="14" t="s">
        <v>37</v>
      </c>
      <c r="G320" s="14" t="s">
        <v>63</v>
      </c>
      <c r="H320" s="14">
        <v>4</v>
      </c>
      <c r="I320" s="2">
        <v>870</v>
      </c>
      <c r="J320" s="3">
        <v>10</v>
      </c>
      <c r="K320" s="2">
        <v>3132</v>
      </c>
      <c r="L320" s="2">
        <v>2223</v>
      </c>
      <c r="M320" s="2">
        <v>909</v>
      </c>
      <c r="N320" s="14" t="s">
        <v>41</v>
      </c>
      <c r="O320" s="14">
        <v>1</v>
      </c>
      <c r="V320" s="2"/>
    </row>
    <row r="321" spans="1:22">
      <c r="A321">
        <v>10338</v>
      </c>
      <c r="B321" s="7" t="s">
        <v>225</v>
      </c>
      <c r="C321" s="14" t="s">
        <v>125</v>
      </c>
      <c r="D321" s="14" t="s">
        <v>42</v>
      </c>
      <c r="E321" s="14" t="s">
        <v>56</v>
      </c>
      <c r="F321" s="14" t="s">
        <v>50</v>
      </c>
      <c r="G321" s="14" t="s">
        <v>68</v>
      </c>
      <c r="H321" s="14">
        <v>6</v>
      </c>
      <c r="I321" s="2">
        <v>830</v>
      </c>
      <c r="J321" s="3">
        <v>15</v>
      </c>
      <c r="K321" s="2">
        <v>4233</v>
      </c>
      <c r="L321" s="2">
        <v>2751</v>
      </c>
      <c r="M321" s="2">
        <v>1482</v>
      </c>
      <c r="N321" s="14" t="s">
        <v>41</v>
      </c>
      <c r="O321" s="14">
        <v>2</v>
      </c>
      <c r="V321" s="2"/>
    </row>
    <row r="322" spans="1:22">
      <c r="A322">
        <v>10339</v>
      </c>
      <c r="B322" s="7" t="s">
        <v>270</v>
      </c>
      <c r="C322" s="14" t="s">
        <v>125</v>
      </c>
      <c r="D322" s="14" t="s">
        <v>39</v>
      </c>
      <c r="E322" s="14" t="s">
        <v>61</v>
      </c>
      <c r="F322" s="14" t="s">
        <v>143</v>
      </c>
      <c r="G322" s="14" t="s">
        <v>70</v>
      </c>
      <c r="H322" s="14">
        <v>5</v>
      </c>
      <c r="I322" s="2">
        <v>950</v>
      </c>
      <c r="J322" s="3">
        <v>20</v>
      </c>
      <c r="K322" s="2">
        <v>3800</v>
      </c>
      <c r="L322" s="2">
        <v>2888</v>
      </c>
      <c r="M322" s="2">
        <v>912</v>
      </c>
      <c r="N322" s="14" t="s">
        <v>41</v>
      </c>
      <c r="O322" s="14">
        <v>3</v>
      </c>
      <c r="V322" s="2"/>
    </row>
    <row r="323" spans="1:22">
      <c r="A323">
        <v>10341</v>
      </c>
      <c r="B323" s="7" t="s">
        <v>374</v>
      </c>
      <c r="C323" s="14" t="s">
        <v>116</v>
      </c>
      <c r="D323" s="14" t="s">
        <v>45</v>
      </c>
      <c r="E323" s="14" t="s">
        <v>56</v>
      </c>
      <c r="F323" s="14" t="s">
        <v>150</v>
      </c>
      <c r="G323" s="14" t="s">
        <v>70</v>
      </c>
      <c r="H323" s="14">
        <v>8</v>
      </c>
      <c r="I323" s="2">
        <v>1310</v>
      </c>
      <c r="J323" s="3">
        <v>5</v>
      </c>
      <c r="K323" s="2">
        <v>9956</v>
      </c>
      <c r="L323" s="2">
        <v>7267</v>
      </c>
      <c r="M323" s="2">
        <v>2689</v>
      </c>
      <c r="N323" s="14" t="s">
        <v>47</v>
      </c>
      <c r="O323" s="14">
        <v>2</v>
      </c>
      <c r="V323" s="2"/>
    </row>
    <row r="324" spans="1:22">
      <c r="A324">
        <v>10342</v>
      </c>
      <c r="B324" s="7" t="s">
        <v>222</v>
      </c>
      <c r="C324" s="14" t="s">
        <v>135</v>
      </c>
      <c r="D324" s="14" t="s">
        <v>42</v>
      </c>
      <c r="E324" s="14" t="s">
        <v>56</v>
      </c>
      <c r="F324" s="14" t="s">
        <v>57</v>
      </c>
      <c r="G324" s="14" t="s">
        <v>72</v>
      </c>
      <c r="H324" s="14">
        <v>4</v>
      </c>
      <c r="I324" s="2">
        <v>1730</v>
      </c>
      <c r="J324" s="3">
        <v>0</v>
      </c>
      <c r="K324" s="2">
        <v>6920</v>
      </c>
      <c r="L324" s="2">
        <v>4498</v>
      </c>
      <c r="M324" s="2">
        <v>2422</v>
      </c>
      <c r="N324" s="14" t="s">
        <v>47</v>
      </c>
      <c r="O324" s="14">
        <v>3</v>
      </c>
      <c r="V324" s="2"/>
    </row>
    <row r="325" spans="1:22">
      <c r="A325">
        <v>10343</v>
      </c>
      <c r="B325" s="7" t="s">
        <v>142</v>
      </c>
      <c r="C325" s="14" t="s">
        <v>128</v>
      </c>
      <c r="D325" s="14" t="s">
        <v>42</v>
      </c>
      <c r="E325" s="14" t="s">
        <v>58</v>
      </c>
      <c r="F325" s="14" t="s">
        <v>55</v>
      </c>
      <c r="G325" s="14" t="s">
        <v>63</v>
      </c>
      <c r="H325" s="14">
        <v>8</v>
      </c>
      <c r="I325" s="2">
        <v>1850</v>
      </c>
      <c r="J325" s="3">
        <v>15</v>
      </c>
      <c r="K325" s="2">
        <v>12580</v>
      </c>
      <c r="L325" s="2">
        <v>8806</v>
      </c>
      <c r="M325" s="2">
        <v>3774</v>
      </c>
      <c r="N325" s="14" t="s">
        <v>47</v>
      </c>
      <c r="O325" s="14">
        <v>4</v>
      </c>
      <c r="V325" s="2"/>
    </row>
    <row r="326" spans="1:22">
      <c r="A326">
        <v>10344</v>
      </c>
      <c r="B326" s="7" t="s">
        <v>375</v>
      </c>
      <c r="C326" s="14" t="s">
        <v>111</v>
      </c>
      <c r="D326" s="14" t="s">
        <v>45</v>
      </c>
      <c r="E326" s="14" t="s">
        <v>61</v>
      </c>
      <c r="F326" s="14" t="s">
        <v>46</v>
      </c>
      <c r="G326" s="14" t="s">
        <v>63</v>
      </c>
      <c r="H326" s="14">
        <v>7</v>
      </c>
      <c r="I326" s="2">
        <v>950</v>
      </c>
      <c r="J326" s="3">
        <v>0</v>
      </c>
      <c r="K326" s="2">
        <v>6650</v>
      </c>
      <c r="L326" s="2">
        <v>5652</v>
      </c>
      <c r="M326" s="2">
        <v>998</v>
      </c>
      <c r="N326" s="14" t="s">
        <v>41</v>
      </c>
      <c r="O326" s="14">
        <v>3</v>
      </c>
      <c r="V326" s="2"/>
    </row>
    <row r="327" spans="1:22">
      <c r="A327">
        <v>10346</v>
      </c>
      <c r="B327" s="7" t="s">
        <v>167</v>
      </c>
      <c r="C327" s="14" t="s">
        <v>111</v>
      </c>
      <c r="D327" s="14" t="s">
        <v>39</v>
      </c>
      <c r="E327" s="14" t="s">
        <v>58</v>
      </c>
      <c r="F327" s="14" t="s">
        <v>55</v>
      </c>
      <c r="G327" s="14" t="s">
        <v>72</v>
      </c>
      <c r="H327" s="14">
        <v>15</v>
      </c>
      <c r="I327" s="2">
        <v>540</v>
      </c>
      <c r="J327" s="3">
        <v>5</v>
      </c>
      <c r="K327" s="2">
        <v>7695</v>
      </c>
      <c r="L327" s="2">
        <v>5078</v>
      </c>
      <c r="M327" s="2">
        <v>2617</v>
      </c>
      <c r="N327" s="14" t="s">
        <v>47</v>
      </c>
      <c r="O327" s="14">
        <v>2</v>
      </c>
      <c r="V327" s="2"/>
    </row>
    <row r="328" spans="1:22">
      <c r="A328">
        <v>10347</v>
      </c>
      <c r="B328" s="7" t="s">
        <v>151</v>
      </c>
      <c r="C328" s="14" t="s">
        <v>141</v>
      </c>
      <c r="D328" s="14" t="s">
        <v>36</v>
      </c>
      <c r="E328" s="14" t="s">
        <v>61</v>
      </c>
      <c r="F328" s="14" t="s">
        <v>143</v>
      </c>
      <c r="G328" s="14" t="s">
        <v>74</v>
      </c>
      <c r="H328" s="14">
        <v>10</v>
      </c>
      <c r="I328" s="2">
        <v>560</v>
      </c>
      <c r="J328" s="3">
        <v>5</v>
      </c>
      <c r="K328" s="2">
        <v>5320</v>
      </c>
      <c r="L328" s="2">
        <v>3564</v>
      </c>
      <c r="M328" s="2">
        <v>1756</v>
      </c>
      <c r="N328" s="14" t="s">
        <v>47</v>
      </c>
      <c r="O328" s="14">
        <v>1</v>
      </c>
      <c r="V328" s="2"/>
    </row>
    <row r="329" spans="1:22">
      <c r="A329">
        <v>10348</v>
      </c>
      <c r="B329" s="7" t="s">
        <v>235</v>
      </c>
      <c r="C329" s="14" t="s">
        <v>135</v>
      </c>
      <c r="D329" s="14" t="s">
        <v>42</v>
      </c>
      <c r="E329" s="14" t="s">
        <v>56</v>
      </c>
      <c r="F329" s="14" t="s">
        <v>50</v>
      </c>
      <c r="G329" s="14" t="s">
        <v>66</v>
      </c>
      <c r="H329" s="14">
        <v>6</v>
      </c>
      <c r="I329" s="2">
        <v>1220</v>
      </c>
      <c r="J329" s="3">
        <v>20</v>
      </c>
      <c r="K329" s="2">
        <v>5856</v>
      </c>
      <c r="L329" s="2">
        <v>4157</v>
      </c>
      <c r="M329" s="2">
        <v>1699</v>
      </c>
      <c r="N329" s="14" t="s">
        <v>41</v>
      </c>
      <c r="O329" s="14">
        <v>1</v>
      </c>
      <c r="V329" s="2"/>
    </row>
    <row r="330" spans="1:22">
      <c r="A330">
        <v>10349</v>
      </c>
      <c r="B330" s="7" t="s">
        <v>376</v>
      </c>
      <c r="C330" s="14" t="s">
        <v>141</v>
      </c>
      <c r="D330" s="14" t="s">
        <v>39</v>
      </c>
      <c r="E330" s="14" t="s">
        <v>56</v>
      </c>
      <c r="F330" s="14" t="s">
        <v>150</v>
      </c>
      <c r="G330" s="14" t="s">
        <v>74</v>
      </c>
      <c r="H330" s="14">
        <v>1</v>
      </c>
      <c r="I330" s="2">
        <v>1060</v>
      </c>
      <c r="J330" s="3">
        <v>20</v>
      </c>
      <c r="K330" s="2">
        <v>848</v>
      </c>
      <c r="L330" s="2">
        <v>712</v>
      </c>
      <c r="M330" s="2">
        <v>136</v>
      </c>
      <c r="N330" s="14" t="s">
        <v>47</v>
      </c>
      <c r="O330" s="14">
        <v>5</v>
      </c>
      <c r="V330" s="2"/>
    </row>
    <row r="331" spans="1:22">
      <c r="A331">
        <v>10350</v>
      </c>
      <c r="B331" s="7" t="s">
        <v>329</v>
      </c>
      <c r="C331" s="14" t="s">
        <v>128</v>
      </c>
      <c r="D331" s="14" t="s">
        <v>42</v>
      </c>
      <c r="E331" s="14" t="s">
        <v>56</v>
      </c>
      <c r="F331" s="14" t="s">
        <v>150</v>
      </c>
      <c r="G331" s="14" t="s">
        <v>72</v>
      </c>
      <c r="H331" s="14">
        <v>11</v>
      </c>
      <c r="I331" s="2">
        <v>1730</v>
      </c>
      <c r="J331" s="3">
        <v>15</v>
      </c>
      <c r="K331" s="2">
        <v>16175.5</v>
      </c>
      <c r="L331" s="2">
        <v>10514</v>
      </c>
      <c r="M331" s="2">
        <v>5661.5</v>
      </c>
      <c r="N331" s="14" t="s">
        <v>38</v>
      </c>
      <c r="O331" s="14">
        <v>1</v>
      </c>
      <c r="V331" s="2"/>
    </row>
    <row r="332" spans="1:22">
      <c r="A332">
        <v>10351</v>
      </c>
      <c r="B332" s="7" t="s">
        <v>215</v>
      </c>
      <c r="C332" s="14" t="s">
        <v>120</v>
      </c>
      <c r="D332" s="14" t="s">
        <v>36</v>
      </c>
      <c r="E332" s="14" t="s">
        <v>61</v>
      </c>
      <c r="F332" s="14" t="s">
        <v>46</v>
      </c>
      <c r="G332" s="14" t="s">
        <v>74</v>
      </c>
      <c r="H332" s="14">
        <v>10</v>
      </c>
      <c r="I332" s="2">
        <v>530</v>
      </c>
      <c r="J332" s="3">
        <v>10</v>
      </c>
      <c r="K332" s="2">
        <v>4770</v>
      </c>
      <c r="L332" s="2">
        <v>3243</v>
      </c>
      <c r="M332" s="2">
        <v>1527</v>
      </c>
      <c r="N332" s="14" t="s">
        <v>41</v>
      </c>
      <c r="O332" s="14">
        <v>5</v>
      </c>
      <c r="V332" s="2"/>
    </row>
    <row r="333" spans="1:22">
      <c r="A333">
        <v>10353</v>
      </c>
      <c r="B333" s="7" t="s">
        <v>377</v>
      </c>
      <c r="C333" s="14" t="s">
        <v>128</v>
      </c>
      <c r="D333" s="14" t="s">
        <v>39</v>
      </c>
      <c r="E333" s="14" t="s">
        <v>61</v>
      </c>
      <c r="F333" s="14" t="s">
        <v>46</v>
      </c>
      <c r="G333" s="14" t="s">
        <v>68</v>
      </c>
      <c r="H333" s="14">
        <v>3</v>
      </c>
      <c r="I333" s="2">
        <v>1770</v>
      </c>
      <c r="J333" s="3">
        <v>0</v>
      </c>
      <c r="K333" s="2">
        <v>5310</v>
      </c>
      <c r="L333" s="2">
        <v>2973</v>
      </c>
      <c r="M333" s="2">
        <v>2337</v>
      </c>
      <c r="N333" s="14" t="s">
        <v>47</v>
      </c>
      <c r="O333" s="14">
        <v>1</v>
      </c>
      <c r="V333" s="2"/>
    </row>
    <row r="334" spans="1:22">
      <c r="A334">
        <v>10354</v>
      </c>
      <c r="B334" s="7" t="s">
        <v>171</v>
      </c>
      <c r="C334" s="14" t="s">
        <v>111</v>
      </c>
      <c r="D334" s="14" t="s">
        <v>39</v>
      </c>
      <c r="E334" s="14" t="s">
        <v>56</v>
      </c>
      <c r="F334" s="14" t="s">
        <v>131</v>
      </c>
      <c r="G334" s="14" t="s">
        <v>74</v>
      </c>
      <c r="H334" s="14">
        <v>8</v>
      </c>
      <c r="I334" s="2">
        <v>1020</v>
      </c>
      <c r="J334" s="3">
        <v>10</v>
      </c>
      <c r="K334" s="2">
        <v>7344</v>
      </c>
      <c r="L334" s="2">
        <v>5140</v>
      </c>
      <c r="M334" s="2">
        <v>2204</v>
      </c>
      <c r="N334" s="14" t="s">
        <v>44</v>
      </c>
      <c r="O334" s="14">
        <v>4</v>
      </c>
      <c r="V334" s="2"/>
    </row>
    <row r="335" spans="1:22">
      <c r="A335">
        <v>10355</v>
      </c>
      <c r="B335" s="7" t="s">
        <v>378</v>
      </c>
      <c r="C335" s="14" t="s">
        <v>141</v>
      </c>
      <c r="D335" s="14" t="s">
        <v>36</v>
      </c>
      <c r="E335" s="14" t="s">
        <v>56</v>
      </c>
      <c r="F335" s="14" t="s">
        <v>49</v>
      </c>
      <c r="G335" s="14" t="s">
        <v>64</v>
      </c>
      <c r="H335" s="14">
        <v>10</v>
      </c>
      <c r="I335" s="2">
        <v>1480</v>
      </c>
      <c r="J335" s="3">
        <v>10</v>
      </c>
      <c r="K335" s="2">
        <v>13320</v>
      </c>
      <c r="L335" s="2">
        <v>7459</v>
      </c>
      <c r="M335" s="2">
        <v>5861</v>
      </c>
      <c r="N335" s="14" t="s">
        <v>44</v>
      </c>
      <c r="O335" s="14">
        <v>3</v>
      </c>
      <c r="V335" s="2"/>
    </row>
    <row r="336" spans="1:22">
      <c r="A336">
        <v>10356</v>
      </c>
      <c r="B336" s="7" t="s">
        <v>379</v>
      </c>
      <c r="C336" s="14" t="s">
        <v>147</v>
      </c>
      <c r="D336" s="14" t="s">
        <v>39</v>
      </c>
      <c r="E336" s="14" t="s">
        <v>58</v>
      </c>
      <c r="F336" s="14" t="s">
        <v>43</v>
      </c>
      <c r="G336" s="14" t="s">
        <v>63</v>
      </c>
      <c r="H336" s="14">
        <v>2</v>
      </c>
      <c r="I336" s="2">
        <v>1540</v>
      </c>
      <c r="J336" s="3">
        <v>0</v>
      </c>
      <c r="K336" s="2">
        <v>3080</v>
      </c>
      <c r="L336" s="2">
        <v>1971</v>
      </c>
      <c r="M336" s="2">
        <v>1109</v>
      </c>
      <c r="N336" s="14" t="s">
        <v>47</v>
      </c>
      <c r="O336" s="14">
        <v>2</v>
      </c>
      <c r="V336" s="2"/>
    </row>
    <row r="337" spans="1:22">
      <c r="A337">
        <v>10357</v>
      </c>
      <c r="B337" s="7" t="s">
        <v>193</v>
      </c>
      <c r="C337" s="14" t="s">
        <v>135</v>
      </c>
      <c r="D337" s="14" t="s">
        <v>42</v>
      </c>
      <c r="E337" s="14" t="s">
        <v>56</v>
      </c>
      <c r="F337" s="14" t="s">
        <v>150</v>
      </c>
      <c r="G337" s="14" t="s">
        <v>68</v>
      </c>
      <c r="H337" s="14">
        <v>1</v>
      </c>
      <c r="I337" s="2">
        <v>1870</v>
      </c>
      <c r="J337" s="3">
        <v>10</v>
      </c>
      <c r="K337" s="2">
        <v>1683</v>
      </c>
      <c r="L337" s="2">
        <v>1009</v>
      </c>
      <c r="M337" s="2">
        <v>674</v>
      </c>
      <c r="N337" s="14" t="s">
        <v>44</v>
      </c>
      <c r="O337" s="14">
        <v>5</v>
      </c>
      <c r="V337" s="2"/>
    </row>
    <row r="338" spans="1:22">
      <c r="A338">
        <v>10358</v>
      </c>
      <c r="B338" s="7" t="s">
        <v>190</v>
      </c>
      <c r="C338" s="14" t="s">
        <v>120</v>
      </c>
      <c r="D338" s="14" t="s">
        <v>36</v>
      </c>
      <c r="E338" s="14" t="s">
        <v>61</v>
      </c>
      <c r="F338" s="14" t="s">
        <v>52</v>
      </c>
      <c r="G338" s="14" t="s">
        <v>70</v>
      </c>
      <c r="H338" s="14">
        <v>9</v>
      </c>
      <c r="I338" s="2">
        <v>710</v>
      </c>
      <c r="J338" s="3">
        <v>15</v>
      </c>
      <c r="K338" s="2">
        <v>5431.5</v>
      </c>
      <c r="L338" s="2">
        <v>3747</v>
      </c>
      <c r="M338" s="2">
        <v>1684.5</v>
      </c>
      <c r="N338" s="14" t="s">
        <v>47</v>
      </c>
      <c r="O338" s="14">
        <v>5</v>
      </c>
      <c r="V338" s="2"/>
    </row>
    <row r="339" spans="1:22">
      <c r="A339">
        <v>10359</v>
      </c>
      <c r="B339" s="7" t="s">
        <v>380</v>
      </c>
      <c r="C339" s="14" t="s">
        <v>111</v>
      </c>
      <c r="D339" s="14" t="s">
        <v>42</v>
      </c>
      <c r="E339" s="14" t="s">
        <v>61</v>
      </c>
      <c r="F339" s="14" t="s">
        <v>51</v>
      </c>
      <c r="G339" s="14" t="s">
        <v>72</v>
      </c>
      <c r="H339" s="14">
        <v>12</v>
      </c>
      <c r="I339" s="2">
        <v>480</v>
      </c>
      <c r="J339" s="3">
        <v>5</v>
      </c>
      <c r="K339" s="2">
        <v>5472</v>
      </c>
      <c r="L339" s="2">
        <v>4377</v>
      </c>
      <c r="M339" s="2">
        <v>1095</v>
      </c>
      <c r="N339" s="14" t="s">
        <v>38</v>
      </c>
      <c r="O339" s="14">
        <v>5</v>
      </c>
      <c r="V339" s="2"/>
    </row>
    <row r="340" spans="1:22">
      <c r="A340">
        <v>10360</v>
      </c>
      <c r="B340" s="7" t="s">
        <v>331</v>
      </c>
      <c r="C340" s="14" t="s">
        <v>116</v>
      </c>
      <c r="D340" s="14" t="s">
        <v>36</v>
      </c>
      <c r="E340" s="14" t="s">
        <v>61</v>
      </c>
      <c r="F340" s="14" t="s">
        <v>52</v>
      </c>
      <c r="G340" s="14" t="s">
        <v>66</v>
      </c>
      <c r="H340" s="14">
        <v>7</v>
      </c>
      <c r="I340" s="2">
        <v>1990</v>
      </c>
      <c r="J340" s="3">
        <v>10</v>
      </c>
      <c r="K340" s="2">
        <v>12537</v>
      </c>
      <c r="L340" s="2">
        <v>8775</v>
      </c>
      <c r="M340" s="2">
        <v>3762</v>
      </c>
      <c r="N340" s="14" t="s">
        <v>47</v>
      </c>
      <c r="O340" s="14">
        <v>2</v>
      </c>
      <c r="V340" s="2"/>
    </row>
    <row r="341" spans="1:22">
      <c r="A341">
        <v>10361</v>
      </c>
      <c r="B341" s="7" t="s">
        <v>381</v>
      </c>
      <c r="C341" s="14" t="s">
        <v>116</v>
      </c>
      <c r="D341" s="14" t="s">
        <v>36</v>
      </c>
      <c r="E341" s="14" t="s">
        <v>61</v>
      </c>
      <c r="F341" s="14" t="s">
        <v>46</v>
      </c>
      <c r="G341" s="14" t="s">
        <v>72</v>
      </c>
      <c r="H341" s="14">
        <v>12</v>
      </c>
      <c r="I341" s="2">
        <v>660</v>
      </c>
      <c r="J341" s="3">
        <v>15</v>
      </c>
      <c r="K341" s="2">
        <v>6732</v>
      </c>
      <c r="L341" s="2">
        <v>4510</v>
      </c>
      <c r="M341" s="2">
        <v>2222</v>
      </c>
      <c r="N341" s="14" t="s">
        <v>38</v>
      </c>
      <c r="O341" s="14">
        <v>3</v>
      </c>
      <c r="V341" s="2"/>
    </row>
    <row r="342" spans="1:22">
      <c r="A342">
        <v>10362</v>
      </c>
      <c r="B342" s="7" t="s">
        <v>382</v>
      </c>
      <c r="C342" s="14" t="s">
        <v>141</v>
      </c>
      <c r="D342" s="14" t="s">
        <v>42</v>
      </c>
      <c r="E342" s="14" t="s">
        <v>56</v>
      </c>
      <c r="F342" s="14" t="s">
        <v>150</v>
      </c>
      <c r="G342" s="14" t="s">
        <v>72</v>
      </c>
      <c r="H342" s="14">
        <v>8</v>
      </c>
      <c r="I342" s="2">
        <v>1780</v>
      </c>
      <c r="J342" s="3">
        <v>15</v>
      </c>
      <c r="K342" s="2">
        <v>12104</v>
      </c>
      <c r="L342" s="2">
        <v>6657</v>
      </c>
      <c r="M342" s="2">
        <v>5447</v>
      </c>
      <c r="N342" s="14" t="s">
        <v>41</v>
      </c>
      <c r="O342" s="14">
        <v>2</v>
      </c>
      <c r="V342" s="2"/>
    </row>
    <row r="343" spans="1:22">
      <c r="A343">
        <v>10363</v>
      </c>
      <c r="B343" s="7" t="s">
        <v>383</v>
      </c>
      <c r="C343" s="14" t="s">
        <v>128</v>
      </c>
      <c r="D343" s="14" t="s">
        <v>42</v>
      </c>
      <c r="E343" s="14" t="s">
        <v>58</v>
      </c>
      <c r="F343" s="14" t="s">
        <v>43</v>
      </c>
      <c r="G343" s="14" t="s">
        <v>72</v>
      </c>
      <c r="H343" s="14">
        <v>3</v>
      </c>
      <c r="I343" s="2">
        <v>1060</v>
      </c>
      <c r="J343" s="3">
        <v>0</v>
      </c>
      <c r="K343" s="2">
        <v>3180</v>
      </c>
      <c r="L343" s="2">
        <v>2130</v>
      </c>
      <c r="M343" s="2">
        <v>1050</v>
      </c>
      <c r="N343" s="14" t="s">
        <v>41</v>
      </c>
      <c r="O343" s="14">
        <v>4</v>
      </c>
      <c r="V343" s="2"/>
    </row>
    <row r="344" spans="1:22">
      <c r="A344">
        <v>10364</v>
      </c>
      <c r="B344" s="7" t="s">
        <v>371</v>
      </c>
      <c r="C344" s="14" t="s">
        <v>116</v>
      </c>
      <c r="D344" s="14" t="s">
        <v>42</v>
      </c>
      <c r="E344" s="14" t="s">
        <v>58</v>
      </c>
      <c r="F344" s="14" t="s">
        <v>40</v>
      </c>
      <c r="G344" s="14" t="s">
        <v>63</v>
      </c>
      <c r="H344" s="14">
        <v>9</v>
      </c>
      <c r="I344" s="2">
        <v>600</v>
      </c>
      <c r="J344" s="3">
        <v>15</v>
      </c>
      <c r="K344" s="2">
        <v>4590</v>
      </c>
      <c r="L344" s="2">
        <v>3075</v>
      </c>
      <c r="M344" s="2">
        <v>1515</v>
      </c>
      <c r="N344" s="14" t="s">
        <v>44</v>
      </c>
      <c r="O344" s="14">
        <v>5</v>
      </c>
      <c r="V344" s="2"/>
    </row>
    <row r="345" spans="1:22">
      <c r="A345">
        <v>10365</v>
      </c>
      <c r="B345" s="7" t="s">
        <v>384</v>
      </c>
      <c r="C345" s="14" t="s">
        <v>130</v>
      </c>
      <c r="D345" s="14" t="s">
        <v>42</v>
      </c>
      <c r="E345" s="14" t="s">
        <v>56</v>
      </c>
      <c r="F345" s="14" t="s">
        <v>57</v>
      </c>
      <c r="G345" s="14" t="s">
        <v>63</v>
      </c>
      <c r="H345" s="14">
        <v>14</v>
      </c>
      <c r="I345" s="2">
        <v>1650</v>
      </c>
      <c r="J345" s="3">
        <v>0</v>
      </c>
      <c r="K345" s="2">
        <v>23100</v>
      </c>
      <c r="L345" s="2">
        <v>19635</v>
      </c>
      <c r="M345" s="2">
        <v>3465</v>
      </c>
      <c r="N345" s="14" t="s">
        <v>41</v>
      </c>
      <c r="O345" s="14">
        <v>3</v>
      </c>
      <c r="V345" s="2"/>
    </row>
    <row r="346" spans="1:22">
      <c r="A346">
        <v>10367</v>
      </c>
      <c r="B346" s="7" t="s">
        <v>385</v>
      </c>
      <c r="C346" s="14" t="s">
        <v>147</v>
      </c>
      <c r="D346" s="14" t="s">
        <v>45</v>
      </c>
      <c r="E346" s="14" t="s">
        <v>56</v>
      </c>
      <c r="F346" s="14" t="s">
        <v>57</v>
      </c>
      <c r="G346" s="14" t="s">
        <v>72</v>
      </c>
      <c r="H346" s="14">
        <v>4</v>
      </c>
      <c r="I346" s="2">
        <v>200</v>
      </c>
      <c r="J346" s="3">
        <v>20</v>
      </c>
      <c r="K346" s="2">
        <v>640</v>
      </c>
      <c r="L346" s="2">
        <v>505</v>
      </c>
      <c r="M346" s="2">
        <v>135</v>
      </c>
      <c r="N346" s="14" t="s">
        <v>44</v>
      </c>
      <c r="O346" s="14">
        <v>2</v>
      </c>
      <c r="V346" s="2"/>
    </row>
    <row r="347" spans="1:22">
      <c r="A347">
        <v>10368</v>
      </c>
      <c r="B347" s="7" t="s">
        <v>386</v>
      </c>
      <c r="C347" s="14" t="s">
        <v>116</v>
      </c>
      <c r="D347" s="14" t="s">
        <v>45</v>
      </c>
      <c r="E347" s="14" t="s">
        <v>56</v>
      </c>
      <c r="F347" s="14" t="s">
        <v>49</v>
      </c>
      <c r="G347" s="14" t="s">
        <v>74</v>
      </c>
      <c r="H347" s="14">
        <v>13</v>
      </c>
      <c r="I347" s="2">
        <v>1150</v>
      </c>
      <c r="J347" s="3">
        <v>0</v>
      </c>
      <c r="K347" s="2">
        <v>14950</v>
      </c>
      <c r="L347" s="2">
        <v>9119</v>
      </c>
      <c r="M347" s="2">
        <v>5831</v>
      </c>
      <c r="N347" s="14" t="s">
        <v>47</v>
      </c>
      <c r="O347" s="14">
        <v>5</v>
      </c>
      <c r="V347" s="2"/>
    </row>
    <row r="348" spans="1:22">
      <c r="A348">
        <v>10369</v>
      </c>
      <c r="B348" s="7" t="s">
        <v>284</v>
      </c>
      <c r="C348" s="14" t="s">
        <v>147</v>
      </c>
      <c r="D348" s="14" t="s">
        <v>42</v>
      </c>
      <c r="E348" s="14" t="s">
        <v>61</v>
      </c>
      <c r="F348" s="14" t="s">
        <v>46</v>
      </c>
      <c r="G348" s="14" t="s">
        <v>64</v>
      </c>
      <c r="H348" s="14">
        <v>10</v>
      </c>
      <c r="I348" s="2">
        <v>600</v>
      </c>
      <c r="J348" s="3">
        <v>10</v>
      </c>
      <c r="K348" s="2">
        <v>5400</v>
      </c>
      <c r="L348" s="2">
        <v>4590</v>
      </c>
      <c r="M348" s="2">
        <v>810</v>
      </c>
      <c r="N348" s="14" t="s">
        <v>38</v>
      </c>
      <c r="O348" s="14">
        <v>2</v>
      </c>
      <c r="V348" s="2"/>
    </row>
    <row r="349" spans="1:22">
      <c r="A349">
        <v>10370</v>
      </c>
      <c r="B349" s="7" t="s">
        <v>387</v>
      </c>
      <c r="C349" s="14" t="s">
        <v>135</v>
      </c>
      <c r="D349" s="14" t="s">
        <v>39</v>
      </c>
      <c r="E349" s="14" t="s">
        <v>61</v>
      </c>
      <c r="F349" s="14" t="s">
        <v>143</v>
      </c>
      <c r="G349" s="14" t="s">
        <v>74</v>
      </c>
      <c r="H349" s="14">
        <v>3</v>
      </c>
      <c r="I349" s="2">
        <v>440</v>
      </c>
      <c r="J349" s="3">
        <v>10</v>
      </c>
      <c r="K349" s="2">
        <v>1188</v>
      </c>
      <c r="L349" s="2">
        <v>689</v>
      </c>
      <c r="M349" s="2">
        <v>499</v>
      </c>
      <c r="N349" s="14" t="s">
        <v>47</v>
      </c>
      <c r="O349" s="14">
        <v>3</v>
      </c>
      <c r="V349" s="2"/>
    </row>
    <row r="350" spans="1:22">
      <c r="A350">
        <v>10371</v>
      </c>
      <c r="B350" s="7" t="s">
        <v>388</v>
      </c>
      <c r="C350" s="14" t="s">
        <v>111</v>
      </c>
      <c r="D350" s="14" t="s">
        <v>39</v>
      </c>
      <c r="E350" s="14" t="s">
        <v>61</v>
      </c>
      <c r="F350" s="14" t="s">
        <v>52</v>
      </c>
      <c r="G350" s="14" t="s">
        <v>63</v>
      </c>
      <c r="H350" s="14">
        <v>11</v>
      </c>
      <c r="I350" s="2">
        <v>1700</v>
      </c>
      <c r="J350" s="3">
        <v>15</v>
      </c>
      <c r="K350" s="2">
        <v>15895</v>
      </c>
      <c r="L350" s="2">
        <v>11603</v>
      </c>
      <c r="M350" s="2">
        <v>4292</v>
      </c>
      <c r="N350" s="14" t="s">
        <v>47</v>
      </c>
      <c r="O350" s="14">
        <v>4</v>
      </c>
      <c r="V350" s="2"/>
    </row>
    <row r="351" spans="1:22">
      <c r="A351">
        <v>10372</v>
      </c>
      <c r="B351" s="7" t="s">
        <v>389</v>
      </c>
      <c r="C351" s="14" t="s">
        <v>120</v>
      </c>
      <c r="D351" s="14" t="s">
        <v>36</v>
      </c>
      <c r="E351" s="14" t="s">
        <v>61</v>
      </c>
      <c r="F351" s="14" t="s">
        <v>46</v>
      </c>
      <c r="G351" s="14" t="s">
        <v>72</v>
      </c>
      <c r="H351" s="14">
        <v>1</v>
      </c>
      <c r="I351" s="2">
        <v>1640</v>
      </c>
      <c r="J351" s="3">
        <v>5</v>
      </c>
      <c r="K351" s="2">
        <v>1558</v>
      </c>
      <c r="L351" s="2">
        <v>1106</v>
      </c>
      <c r="M351" s="2">
        <v>452</v>
      </c>
      <c r="N351" s="14" t="s">
        <v>41</v>
      </c>
      <c r="O351" s="14">
        <v>4</v>
      </c>
      <c r="V351" s="2"/>
    </row>
    <row r="352" spans="1:22">
      <c r="A352">
        <v>10373</v>
      </c>
      <c r="B352" s="7" t="s">
        <v>390</v>
      </c>
      <c r="C352" s="14" t="s">
        <v>135</v>
      </c>
      <c r="D352" s="14" t="s">
        <v>45</v>
      </c>
      <c r="E352" s="14" t="s">
        <v>61</v>
      </c>
      <c r="F352" s="14" t="s">
        <v>51</v>
      </c>
      <c r="G352" s="14" t="s">
        <v>74</v>
      </c>
      <c r="H352" s="14">
        <v>15</v>
      </c>
      <c r="I352" s="2">
        <v>1420</v>
      </c>
      <c r="J352" s="3">
        <v>20</v>
      </c>
      <c r="K352" s="2">
        <v>17040</v>
      </c>
      <c r="L352" s="2">
        <v>12950</v>
      </c>
      <c r="M352" s="2">
        <v>4090</v>
      </c>
      <c r="N352" s="14" t="s">
        <v>44</v>
      </c>
      <c r="O352" s="14">
        <v>1</v>
      </c>
      <c r="V352" s="2"/>
    </row>
    <row r="353" spans="1:22">
      <c r="A353">
        <v>10374</v>
      </c>
      <c r="B353" s="7" t="s">
        <v>391</v>
      </c>
      <c r="C353" s="14" t="s">
        <v>130</v>
      </c>
      <c r="D353" s="14" t="s">
        <v>42</v>
      </c>
      <c r="E353" s="14" t="s">
        <v>58</v>
      </c>
      <c r="F353" s="14" t="s">
        <v>37</v>
      </c>
      <c r="G353" s="14" t="s">
        <v>74</v>
      </c>
      <c r="H353" s="14">
        <v>6</v>
      </c>
      <c r="I353" s="2">
        <v>1650</v>
      </c>
      <c r="J353" s="3">
        <v>5</v>
      </c>
      <c r="K353" s="2">
        <v>9405</v>
      </c>
      <c r="L353" s="2">
        <v>7712</v>
      </c>
      <c r="M353" s="2">
        <v>1693</v>
      </c>
      <c r="N353" s="14" t="s">
        <v>38</v>
      </c>
      <c r="O353" s="14">
        <v>3</v>
      </c>
      <c r="V353" s="2"/>
    </row>
    <row r="354" spans="1:22">
      <c r="A354">
        <v>10375</v>
      </c>
      <c r="B354" s="7" t="s">
        <v>357</v>
      </c>
      <c r="C354" s="14" t="s">
        <v>147</v>
      </c>
      <c r="D354" s="14" t="s">
        <v>45</v>
      </c>
      <c r="E354" s="14" t="s">
        <v>61</v>
      </c>
      <c r="F354" s="14" t="s">
        <v>143</v>
      </c>
      <c r="G354" s="14" t="s">
        <v>70</v>
      </c>
      <c r="H354" s="14">
        <v>12</v>
      </c>
      <c r="I354" s="2">
        <v>1550</v>
      </c>
      <c r="J354" s="3">
        <v>20</v>
      </c>
      <c r="K354" s="2">
        <v>14880</v>
      </c>
      <c r="L354" s="2">
        <v>8630</v>
      </c>
      <c r="M354" s="2">
        <v>6250</v>
      </c>
      <c r="N354" s="14" t="s">
        <v>38</v>
      </c>
      <c r="O354" s="14">
        <v>1</v>
      </c>
      <c r="V354" s="2"/>
    </row>
    <row r="355" spans="1:22">
      <c r="A355">
        <v>10376</v>
      </c>
      <c r="B355" s="7" t="s">
        <v>392</v>
      </c>
      <c r="C355" s="14" t="s">
        <v>147</v>
      </c>
      <c r="D355" s="14" t="s">
        <v>36</v>
      </c>
      <c r="E355" s="14" t="s">
        <v>58</v>
      </c>
      <c r="F355" s="14" t="s">
        <v>37</v>
      </c>
      <c r="G355" s="14" t="s">
        <v>68</v>
      </c>
      <c r="H355" s="14">
        <v>12</v>
      </c>
      <c r="I355" s="2">
        <v>1110</v>
      </c>
      <c r="J355" s="3">
        <v>20</v>
      </c>
      <c r="K355" s="2">
        <v>10656</v>
      </c>
      <c r="L355" s="2">
        <v>6287</v>
      </c>
      <c r="M355" s="2">
        <v>4369</v>
      </c>
      <c r="N355" s="14" t="s">
        <v>38</v>
      </c>
      <c r="O355" s="14">
        <v>2</v>
      </c>
      <c r="V355" s="2"/>
    </row>
    <row r="356" spans="1:22">
      <c r="A356">
        <v>10377</v>
      </c>
      <c r="B356" s="7" t="s">
        <v>393</v>
      </c>
      <c r="C356" s="14" t="s">
        <v>120</v>
      </c>
      <c r="D356" s="14" t="s">
        <v>42</v>
      </c>
      <c r="E356" s="14" t="s">
        <v>61</v>
      </c>
      <c r="F356" s="14" t="s">
        <v>52</v>
      </c>
      <c r="G356" s="14" t="s">
        <v>66</v>
      </c>
      <c r="H356" s="14">
        <v>1</v>
      </c>
      <c r="I356" s="2">
        <v>1740</v>
      </c>
      <c r="J356" s="3">
        <v>15</v>
      </c>
      <c r="K356" s="2">
        <v>1479</v>
      </c>
      <c r="L356" s="2">
        <v>902</v>
      </c>
      <c r="M356" s="2">
        <v>577</v>
      </c>
      <c r="N356" s="14" t="s">
        <v>47</v>
      </c>
      <c r="O356" s="14">
        <v>2</v>
      </c>
      <c r="V356" s="2"/>
    </row>
    <row r="357" spans="1:22">
      <c r="A357">
        <v>10378</v>
      </c>
      <c r="B357" s="7" t="s">
        <v>394</v>
      </c>
      <c r="C357" s="14" t="s">
        <v>130</v>
      </c>
      <c r="D357" s="14" t="s">
        <v>39</v>
      </c>
      <c r="E357" s="14" t="s">
        <v>58</v>
      </c>
      <c r="F357" s="14" t="s">
        <v>43</v>
      </c>
      <c r="G357" s="14" t="s">
        <v>66</v>
      </c>
      <c r="H357" s="14">
        <v>2</v>
      </c>
      <c r="I357" s="2">
        <v>850</v>
      </c>
      <c r="J357" s="3">
        <v>5</v>
      </c>
      <c r="K357" s="2">
        <v>1615</v>
      </c>
      <c r="L357" s="2">
        <v>1227</v>
      </c>
      <c r="M357" s="2">
        <v>388</v>
      </c>
      <c r="N357" s="14" t="s">
        <v>44</v>
      </c>
      <c r="O357" s="14">
        <v>4</v>
      </c>
      <c r="V357" s="2"/>
    </row>
    <row r="358" spans="1:22">
      <c r="A358">
        <v>10379</v>
      </c>
      <c r="B358" s="7" t="s">
        <v>395</v>
      </c>
      <c r="C358" s="14" t="s">
        <v>137</v>
      </c>
      <c r="D358" s="14" t="s">
        <v>42</v>
      </c>
      <c r="E358" s="14" t="s">
        <v>58</v>
      </c>
      <c r="F358" s="14" t="s">
        <v>40</v>
      </c>
      <c r="G358" s="14" t="s">
        <v>66</v>
      </c>
      <c r="H358" s="14">
        <v>15</v>
      </c>
      <c r="I358" s="2">
        <v>1200</v>
      </c>
      <c r="J358" s="3">
        <v>20</v>
      </c>
      <c r="K358" s="2">
        <v>14400</v>
      </c>
      <c r="L358" s="2">
        <v>7920</v>
      </c>
      <c r="M358" s="2">
        <v>6480</v>
      </c>
      <c r="N358" s="14" t="s">
        <v>41</v>
      </c>
      <c r="O358" s="14">
        <v>4</v>
      </c>
      <c r="V358" s="2"/>
    </row>
    <row r="359" spans="1:22">
      <c r="A359">
        <v>10380</v>
      </c>
      <c r="B359" s="7" t="s">
        <v>390</v>
      </c>
      <c r="C359" s="14" t="s">
        <v>147</v>
      </c>
      <c r="D359" s="14" t="s">
        <v>39</v>
      </c>
      <c r="E359" s="14" t="s">
        <v>61</v>
      </c>
      <c r="F359" s="14" t="s">
        <v>143</v>
      </c>
      <c r="G359" s="14" t="s">
        <v>74</v>
      </c>
      <c r="H359" s="14">
        <v>10</v>
      </c>
      <c r="I359" s="2">
        <v>710</v>
      </c>
      <c r="J359" s="3">
        <v>5</v>
      </c>
      <c r="K359" s="2">
        <v>6745</v>
      </c>
      <c r="L359" s="2">
        <v>5598</v>
      </c>
      <c r="M359" s="2">
        <v>1147</v>
      </c>
      <c r="N359" s="14" t="s">
        <v>38</v>
      </c>
      <c r="O359" s="14">
        <v>2</v>
      </c>
      <c r="V359" s="2"/>
    </row>
    <row r="360" spans="1:22">
      <c r="A360">
        <v>10381</v>
      </c>
      <c r="B360" s="7" t="s">
        <v>377</v>
      </c>
      <c r="C360" s="14" t="s">
        <v>116</v>
      </c>
      <c r="D360" s="14" t="s">
        <v>45</v>
      </c>
      <c r="E360" s="14" t="s">
        <v>61</v>
      </c>
      <c r="F360" s="14" t="s">
        <v>117</v>
      </c>
      <c r="G360" s="14" t="s">
        <v>70</v>
      </c>
      <c r="H360" s="14">
        <v>6</v>
      </c>
      <c r="I360" s="2">
        <v>1140</v>
      </c>
      <c r="J360" s="3">
        <v>15</v>
      </c>
      <c r="K360" s="2">
        <v>5814</v>
      </c>
      <c r="L360" s="2">
        <v>4709</v>
      </c>
      <c r="M360" s="2">
        <v>1105</v>
      </c>
      <c r="N360" s="14" t="s">
        <v>44</v>
      </c>
      <c r="O360" s="14">
        <v>4</v>
      </c>
      <c r="V360" s="2"/>
    </row>
    <row r="361" spans="1:22">
      <c r="A361">
        <v>10382</v>
      </c>
      <c r="B361" s="7" t="s">
        <v>192</v>
      </c>
      <c r="C361" s="14" t="s">
        <v>130</v>
      </c>
      <c r="D361" s="14" t="s">
        <v>45</v>
      </c>
      <c r="E361" s="14" t="s">
        <v>58</v>
      </c>
      <c r="F361" s="14" t="s">
        <v>43</v>
      </c>
      <c r="G361" s="14" t="s">
        <v>74</v>
      </c>
      <c r="H361" s="14">
        <v>14</v>
      </c>
      <c r="I361" s="2">
        <v>1790</v>
      </c>
      <c r="J361" s="3">
        <v>15</v>
      </c>
      <c r="K361" s="2">
        <v>21301</v>
      </c>
      <c r="L361" s="2">
        <v>12567</v>
      </c>
      <c r="M361" s="2">
        <v>8734</v>
      </c>
      <c r="N361" s="14" t="s">
        <v>44</v>
      </c>
      <c r="O361" s="14">
        <v>4</v>
      </c>
      <c r="V361" s="2"/>
    </row>
    <row r="362" spans="1:22">
      <c r="A362">
        <v>10383</v>
      </c>
      <c r="B362" s="7" t="s">
        <v>239</v>
      </c>
      <c r="C362" s="14" t="s">
        <v>135</v>
      </c>
      <c r="D362" s="14" t="s">
        <v>36</v>
      </c>
      <c r="E362" s="14" t="s">
        <v>58</v>
      </c>
      <c r="F362" s="14" t="s">
        <v>37</v>
      </c>
      <c r="G362" s="14" t="s">
        <v>68</v>
      </c>
      <c r="H362" s="14">
        <v>13</v>
      </c>
      <c r="I362" s="2">
        <v>1530</v>
      </c>
      <c r="J362" s="3">
        <v>20</v>
      </c>
      <c r="K362" s="2">
        <v>15912</v>
      </c>
      <c r="L362" s="2">
        <v>11138</v>
      </c>
      <c r="M362" s="2">
        <v>4774</v>
      </c>
      <c r="N362" s="14" t="s">
        <v>38</v>
      </c>
      <c r="O362" s="14">
        <v>5</v>
      </c>
      <c r="V362" s="2"/>
    </row>
    <row r="363" spans="1:22">
      <c r="A363">
        <v>10384</v>
      </c>
      <c r="B363" s="7" t="s">
        <v>238</v>
      </c>
      <c r="C363" s="14" t="s">
        <v>137</v>
      </c>
      <c r="D363" s="14" t="s">
        <v>36</v>
      </c>
      <c r="E363" s="14" t="s">
        <v>58</v>
      </c>
      <c r="F363" s="14" t="s">
        <v>37</v>
      </c>
      <c r="G363" s="14" t="s">
        <v>68</v>
      </c>
      <c r="H363" s="14">
        <v>8</v>
      </c>
      <c r="I363" s="2">
        <v>1840</v>
      </c>
      <c r="J363" s="3">
        <v>20</v>
      </c>
      <c r="K363" s="2">
        <v>11776</v>
      </c>
      <c r="L363" s="2">
        <v>7301</v>
      </c>
      <c r="M363" s="2">
        <v>4475</v>
      </c>
      <c r="N363" s="14" t="s">
        <v>47</v>
      </c>
      <c r="O363" s="14">
        <v>3</v>
      </c>
      <c r="V363" s="2"/>
    </row>
    <row r="364" spans="1:22">
      <c r="A364">
        <v>10385</v>
      </c>
      <c r="B364" s="7" t="s">
        <v>396</v>
      </c>
      <c r="C364" s="14" t="s">
        <v>125</v>
      </c>
      <c r="D364" s="14" t="s">
        <v>45</v>
      </c>
      <c r="E364" s="14" t="s">
        <v>61</v>
      </c>
      <c r="F364" s="14" t="s">
        <v>46</v>
      </c>
      <c r="G364" s="14" t="s">
        <v>63</v>
      </c>
      <c r="H364" s="14">
        <v>9</v>
      </c>
      <c r="I364" s="2">
        <v>1460</v>
      </c>
      <c r="J364" s="3">
        <v>10</v>
      </c>
      <c r="K364" s="2">
        <v>11826</v>
      </c>
      <c r="L364" s="2">
        <v>7923</v>
      </c>
      <c r="M364" s="2">
        <v>3903</v>
      </c>
      <c r="N364" s="14" t="s">
        <v>44</v>
      </c>
      <c r="O364" s="14">
        <v>2</v>
      </c>
      <c r="V364" s="2"/>
    </row>
    <row r="365" spans="1:22">
      <c r="A365">
        <v>10387</v>
      </c>
      <c r="B365" s="7" t="s">
        <v>397</v>
      </c>
      <c r="C365" s="14" t="s">
        <v>137</v>
      </c>
      <c r="D365" s="14" t="s">
        <v>45</v>
      </c>
      <c r="E365" s="14" t="s">
        <v>61</v>
      </c>
      <c r="F365" s="14" t="s">
        <v>52</v>
      </c>
      <c r="G365" s="14" t="s">
        <v>63</v>
      </c>
      <c r="H365" s="14">
        <v>12</v>
      </c>
      <c r="I365" s="2">
        <v>1900</v>
      </c>
      <c r="J365" s="3">
        <v>20</v>
      </c>
      <c r="K365" s="2">
        <v>18240</v>
      </c>
      <c r="L365" s="2">
        <v>11491</v>
      </c>
      <c r="M365" s="2">
        <v>6749</v>
      </c>
      <c r="N365" s="14" t="s">
        <v>47</v>
      </c>
      <c r="O365" s="14">
        <v>1</v>
      </c>
      <c r="V365" s="2"/>
    </row>
    <row r="366" spans="1:22">
      <c r="A366">
        <v>10388</v>
      </c>
      <c r="B366" s="7" t="s">
        <v>354</v>
      </c>
      <c r="C366" s="14" t="s">
        <v>125</v>
      </c>
      <c r="D366" s="14" t="s">
        <v>42</v>
      </c>
      <c r="E366" s="14" t="s">
        <v>56</v>
      </c>
      <c r="F366" s="14" t="s">
        <v>50</v>
      </c>
      <c r="G366" s="14" t="s">
        <v>64</v>
      </c>
      <c r="H366" s="14">
        <v>7</v>
      </c>
      <c r="I366" s="2">
        <v>1370</v>
      </c>
      <c r="J366" s="3">
        <v>20</v>
      </c>
      <c r="K366" s="2">
        <v>7672</v>
      </c>
      <c r="L366" s="2">
        <v>5830</v>
      </c>
      <c r="M366" s="2">
        <v>1842</v>
      </c>
      <c r="N366" s="14" t="s">
        <v>41</v>
      </c>
      <c r="O366" s="14">
        <v>3</v>
      </c>
      <c r="V366" s="2"/>
    </row>
    <row r="367" spans="1:22">
      <c r="A367">
        <v>10389</v>
      </c>
      <c r="B367" s="7" t="s">
        <v>398</v>
      </c>
      <c r="C367" s="14" t="s">
        <v>116</v>
      </c>
      <c r="D367" s="14" t="s">
        <v>36</v>
      </c>
      <c r="E367" s="14" t="s">
        <v>58</v>
      </c>
      <c r="F367" s="14" t="s">
        <v>37</v>
      </c>
      <c r="G367" s="14" t="s">
        <v>74</v>
      </c>
      <c r="H367" s="14">
        <v>1</v>
      </c>
      <c r="I367" s="2">
        <v>490</v>
      </c>
      <c r="J367" s="3">
        <v>10</v>
      </c>
      <c r="K367" s="2">
        <v>441</v>
      </c>
      <c r="L367" s="2">
        <v>291</v>
      </c>
      <c r="M367" s="2">
        <v>150</v>
      </c>
      <c r="N367" s="14" t="s">
        <v>47</v>
      </c>
      <c r="O367" s="14">
        <v>2</v>
      </c>
      <c r="V367" s="2"/>
    </row>
    <row r="368" spans="1:22">
      <c r="A368">
        <v>10390</v>
      </c>
      <c r="B368" s="7" t="s">
        <v>399</v>
      </c>
      <c r="C368" s="14" t="s">
        <v>128</v>
      </c>
      <c r="D368" s="14" t="s">
        <v>39</v>
      </c>
      <c r="E368" s="14" t="s">
        <v>61</v>
      </c>
      <c r="F368" s="14" t="s">
        <v>51</v>
      </c>
      <c r="G368" s="14" t="s">
        <v>70</v>
      </c>
      <c r="H368" s="14">
        <v>13</v>
      </c>
      <c r="I368" s="2">
        <v>1940</v>
      </c>
      <c r="J368" s="3">
        <v>10</v>
      </c>
      <c r="K368" s="2">
        <v>22698</v>
      </c>
      <c r="L368" s="2">
        <v>16796</v>
      </c>
      <c r="M368" s="2">
        <v>5902</v>
      </c>
      <c r="N368" s="14" t="s">
        <v>41</v>
      </c>
      <c r="O368" s="14">
        <v>3</v>
      </c>
      <c r="V368" s="2"/>
    </row>
    <row r="369" spans="1:22">
      <c r="A369">
        <v>10391</v>
      </c>
      <c r="B369" s="7" t="s">
        <v>400</v>
      </c>
      <c r="C369" s="14" t="s">
        <v>130</v>
      </c>
      <c r="D369" s="14" t="s">
        <v>45</v>
      </c>
      <c r="E369" s="14" t="s">
        <v>56</v>
      </c>
      <c r="F369" s="14" t="s">
        <v>57</v>
      </c>
      <c r="G369" s="14" t="s">
        <v>68</v>
      </c>
      <c r="H369" s="14">
        <v>10</v>
      </c>
      <c r="I369" s="2">
        <v>1430</v>
      </c>
      <c r="J369" s="3">
        <v>20</v>
      </c>
      <c r="K369" s="2">
        <v>11440</v>
      </c>
      <c r="L369" s="2">
        <v>8694</v>
      </c>
      <c r="M369" s="2">
        <v>2746</v>
      </c>
      <c r="N369" s="14" t="s">
        <v>41</v>
      </c>
      <c r="O369" s="14">
        <v>2</v>
      </c>
      <c r="V369" s="2"/>
    </row>
    <row r="370" spans="1:22">
      <c r="A370">
        <v>10392</v>
      </c>
      <c r="B370" s="7" t="s">
        <v>255</v>
      </c>
      <c r="C370" s="14" t="s">
        <v>120</v>
      </c>
      <c r="D370" s="14" t="s">
        <v>39</v>
      </c>
      <c r="E370" s="14" t="s">
        <v>58</v>
      </c>
      <c r="F370" s="14" t="s">
        <v>55</v>
      </c>
      <c r="G370" s="14" t="s">
        <v>70</v>
      </c>
      <c r="H370" s="14">
        <v>3</v>
      </c>
      <c r="I370" s="2">
        <v>850</v>
      </c>
      <c r="J370" s="3">
        <v>0</v>
      </c>
      <c r="K370" s="2">
        <v>2550</v>
      </c>
      <c r="L370" s="2">
        <v>1479</v>
      </c>
      <c r="M370" s="2">
        <v>1071</v>
      </c>
      <c r="N370" s="14" t="s">
        <v>41</v>
      </c>
      <c r="O370" s="14">
        <v>4</v>
      </c>
      <c r="V370" s="2"/>
    </row>
    <row r="371" spans="1:22">
      <c r="A371">
        <v>10393</v>
      </c>
      <c r="B371" s="7" t="s">
        <v>401</v>
      </c>
      <c r="C371" s="14" t="s">
        <v>137</v>
      </c>
      <c r="D371" s="14" t="s">
        <v>36</v>
      </c>
      <c r="E371" s="14" t="s">
        <v>61</v>
      </c>
      <c r="F371" s="14" t="s">
        <v>46</v>
      </c>
      <c r="G371" s="14" t="s">
        <v>72</v>
      </c>
      <c r="H371" s="14">
        <v>10</v>
      </c>
      <c r="I371" s="2">
        <v>1850</v>
      </c>
      <c r="J371" s="3">
        <v>15</v>
      </c>
      <c r="K371" s="2">
        <v>15725</v>
      </c>
      <c r="L371" s="2">
        <v>11164</v>
      </c>
      <c r="M371" s="2">
        <v>4561</v>
      </c>
      <c r="N371" s="14" t="s">
        <v>41</v>
      </c>
      <c r="O371" s="14">
        <v>3</v>
      </c>
      <c r="V371" s="2"/>
    </row>
    <row r="372" spans="1:22">
      <c r="A372">
        <v>10394</v>
      </c>
      <c r="B372" s="7" t="s">
        <v>402</v>
      </c>
      <c r="C372" s="14" t="s">
        <v>116</v>
      </c>
      <c r="D372" s="14" t="s">
        <v>36</v>
      </c>
      <c r="E372" s="14" t="s">
        <v>58</v>
      </c>
      <c r="F372" s="14" t="s">
        <v>43</v>
      </c>
      <c r="G372" s="14" t="s">
        <v>72</v>
      </c>
      <c r="H372" s="14">
        <v>4</v>
      </c>
      <c r="I372" s="2">
        <v>1990</v>
      </c>
      <c r="J372" s="3">
        <v>0</v>
      </c>
      <c r="K372" s="2">
        <v>7960</v>
      </c>
      <c r="L372" s="2">
        <v>6208</v>
      </c>
      <c r="M372" s="2">
        <v>1752</v>
      </c>
      <c r="N372" s="14" t="s">
        <v>38</v>
      </c>
      <c r="O372" s="14">
        <v>4</v>
      </c>
      <c r="V372" s="2"/>
    </row>
    <row r="373" spans="1:22">
      <c r="A373">
        <v>10395</v>
      </c>
      <c r="B373" s="7" t="s">
        <v>403</v>
      </c>
      <c r="C373" s="14" t="s">
        <v>128</v>
      </c>
      <c r="D373" s="14" t="s">
        <v>39</v>
      </c>
      <c r="E373" s="14" t="s">
        <v>61</v>
      </c>
      <c r="F373" s="14" t="s">
        <v>143</v>
      </c>
      <c r="G373" s="14" t="s">
        <v>68</v>
      </c>
      <c r="H373" s="14">
        <v>3</v>
      </c>
      <c r="I373" s="2">
        <v>1760</v>
      </c>
      <c r="J373" s="3">
        <v>10</v>
      </c>
      <c r="K373" s="2">
        <v>4752</v>
      </c>
      <c r="L373" s="2">
        <v>3754</v>
      </c>
      <c r="M373" s="2">
        <v>998</v>
      </c>
      <c r="N373" s="14" t="s">
        <v>44</v>
      </c>
      <c r="O373" s="14">
        <v>5</v>
      </c>
      <c r="V373" s="2"/>
    </row>
    <row r="374" spans="1:22">
      <c r="A374">
        <v>10396</v>
      </c>
      <c r="B374" s="7" t="s">
        <v>404</v>
      </c>
      <c r="C374" s="14" t="s">
        <v>130</v>
      </c>
      <c r="D374" s="14" t="s">
        <v>39</v>
      </c>
      <c r="E374" s="14" t="s">
        <v>58</v>
      </c>
      <c r="F374" s="14" t="s">
        <v>55</v>
      </c>
      <c r="G374" s="14" t="s">
        <v>63</v>
      </c>
      <c r="H374" s="14">
        <v>12</v>
      </c>
      <c r="I374" s="2">
        <v>940</v>
      </c>
      <c r="J374" s="3">
        <v>20</v>
      </c>
      <c r="K374" s="2">
        <v>9024</v>
      </c>
      <c r="L374" s="2">
        <v>6046</v>
      </c>
      <c r="M374" s="2">
        <v>2978</v>
      </c>
      <c r="N374" s="14" t="s">
        <v>41</v>
      </c>
      <c r="O374" s="14">
        <v>2</v>
      </c>
      <c r="V374" s="2"/>
    </row>
    <row r="375" spans="1:22">
      <c r="A375">
        <v>10397</v>
      </c>
      <c r="B375" s="7" t="s">
        <v>405</v>
      </c>
      <c r="C375" s="14" t="s">
        <v>135</v>
      </c>
      <c r="D375" s="14" t="s">
        <v>39</v>
      </c>
      <c r="E375" s="14" t="s">
        <v>61</v>
      </c>
      <c r="F375" s="14" t="s">
        <v>46</v>
      </c>
      <c r="G375" s="14" t="s">
        <v>68</v>
      </c>
      <c r="H375" s="14">
        <v>9</v>
      </c>
      <c r="I375" s="2">
        <v>1960</v>
      </c>
      <c r="J375" s="3">
        <v>15</v>
      </c>
      <c r="K375" s="2">
        <v>14994</v>
      </c>
      <c r="L375" s="2">
        <v>11245</v>
      </c>
      <c r="M375" s="2">
        <v>3749</v>
      </c>
      <c r="N375" s="14" t="s">
        <v>44</v>
      </c>
      <c r="O375" s="14">
        <v>5</v>
      </c>
      <c r="V375" s="2"/>
    </row>
    <row r="376" spans="1:22">
      <c r="A376">
        <v>10398</v>
      </c>
      <c r="B376" s="7" t="s">
        <v>360</v>
      </c>
      <c r="C376" s="14" t="s">
        <v>116</v>
      </c>
      <c r="D376" s="14" t="s">
        <v>42</v>
      </c>
      <c r="E376" s="14" t="s">
        <v>56</v>
      </c>
      <c r="F376" s="14" t="s">
        <v>150</v>
      </c>
      <c r="G376" s="14" t="s">
        <v>72</v>
      </c>
      <c r="H376" s="14">
        <v>15</v>
      </c>
      <c r="I376" s="2">
        <v>1400</v>
      </c>
      <c r="J376" s="3">
        <v>5</v>
      </c>
      <c r="K376" s="2">
        <v>19950</v>
      </c>
      <c r="L376" s="2">
        <v>16957</v>
      </c>
      <c r="M376" s="2">
        <v>2993</v>
      </c>
      <c r="N376" s="14" t="s">
        <v>44</v>
      </c>
      <c r="O376" s="14">
        <v>5</v>
      </c>
      <c r="V376" s="2"/>
    </row>
    <row r="377" spans="1:22">
      <c r="A377">
        <v>10399</v>
      </c>
      <c r="B377" s="7" t="s">
        <v>406</v>
      </c>
      <c r="C377" s="14" t="s">
        <v>111</v>
      </c>
      <c r="D377" s="14" t="s">
        <v>45</v>
      </c>
      <c r="E377" s="14" t="s">
        <v>56</v>
      </c>
      <c r="F377" s="14" t="s">
        <v>150</v>
      </c>
      <c r="G377" s="14" t="s">
        <v>64</v>
      </c>
      <c r="H377" s="14">
        <v>7</v>
      </c>
      <c r="I377" s="2">
        <v>1780</v>
      </c>
      <c r="J377" s="3">
        <v>0</v>
      </c>
      <c r="K377" s="2">
        <v>12460</v>
      </c>
      <c r="L377" s="2">
        <v>8223</v>
      </c>
      <c r="M377" s="2">
        <v>4237</v>
      </c>
      <c r="N377" s="14" t="s">
        <v>41</v>
      </c>
      <c r="O377" s="14">
        <v>3</v>
      </c>
      <c r="V377" s="2"/>
    </row>
    <row r="378" spans="1:22">
      <c r="A378">
        <v>10400</v>
      </c>
      <c r="B378" s="7" t="s">
        <v>330</v>
      </c>
      <c r="C378" s="14" t="s">
        <v>135</v>
      </c>
      <c r="D378" s="14" t="s">
        <v>42</v>
      </c>
      <c r="E378" s="14" t="s">
        <v>61</v>
      </c>
      <c r="F378" s="14" t="s">
        <v>52</v>
      </c>
      <c r="G378" s="14" t="s">
        <v>72</v>
      </c>
      <c r="H378" s="14">
        <v>7</v>
      </c>
      <c r="I378" s="2">
        <v>1260</v>
      </c>
      <c r="J378" s="3">
        <v>0</v>
      </c>
      <c r="K378" s="2">
        <v>8820</v>
      </c>
      <c r="L378" s="2">
        <v>4851</v>
      </c>
      <c r="M378" s="2">
        <v>3969</v>
      </c>
      <c r="N378" s="14" t="s">
        <v>47</v>
      </c>
      <c r="O378" s="14">
        <v>2</v>
      </c>
      <c r="V378" s="2"/>
    </row>
    <row r="379" spans="1:22">
      <c r="A379">
        <v>10401</v>
      </c>
      <c r="B379" s="7" t="s">
        <v>407</v>
      </c>
      <c r="C379" s="14" t="s">
        <v>130</v>
      </c>
      <c r="D379" s="14" t="s">
        <v>45</v>
      </c>
      <c r="E379" s="14" t="s">
        <v>58</v>
      </c>
      <c r="F379" s="14" t="s">
        <v>55</v>
      </c>
      <c r="G379" s="14" t="s">
        <v>72</v>
      </c>
      <c r="H379" s="14">
        <v>4</v>
      </c>
      <c r="I379" s="2">
        <v>530</v>
      </c>
      <c r="J379" s="3">
        <v>15</v>
      </c>
      <c r="K379" s="2">
        <v>1802</v>
      </c>
      <c r="L379" s="2">
        <v>1423</v>
      </c>
      <c r="M379" s="2">
        <v>379</v>
      </c>
      <c r="N379" s="14" t="s">
        <v>44</v>
      </c>
      <c r="O379" s="14">
        <v>3</v>
      </c>
      <c r="V379" s="2"/>
    </row>
    <row r="380" spans="1:22">
      <c r="A380">
        <v>10402</v>
      </c>
      <c r="B380" s="7" t="s">
        <v>408</v>
      </c>
      <c r="C380" s="14" t="s">
        <v>125</v>
      </c>
      <c r="D380" s="14" t="s">
        <v>42</v>
      </c>
      <c r="E380" s="14" t="s">
        <v>56</v>
      </c>
      <c r="F380" s="14" t="s">
        <v>50</v>
      </c>
      <c r="G380" s="14" t="s">
        <v>72</v>
      </c>
      <c r="H380" s="14">
        <v>3</v>
      </c>
      <c r="I380" s="2">
        <v>270</v>
      </c>
      <c r="J380" s="3">
        <v>5</v>
      </c>
      <c r="K380" s="2">
        <v>769.5</v>
      </c>
      <c r="L380" s="2">
        <v>584</v>
      </c>
      <c r="M380" s="2">
        <v>185.5</v>
      </c>
      <c r="N380" s="14" t="s">
        <v>41</v>
      </c>
      <c r="O380" s="14">
        <v>1</v>
      </c>
      <c r="V380" s="2"/>
    </row>
    <row r="381" spans="1:22">
      <c r="A381">
        <v>10403</v>
      </c>
      <c r="B381" s="7" t="s">
        <v>409</v>
      </c>
      <c r="C381" s="14" t="s">
        <v>147</v>
      </c>
      <c r="D381" s="14" t="s">
        <v>42</v>
      </c>
      <c r="E381" s="14" t="s">
        <v>56</v>
      </c>
      <c r="F381" s="14" t="s">
        <v>150</v>
      </c>
      <c r="G381" s="14" t="s">
        <v>68</v>
      </c>
      <c r="H381" s="14">
        <v>9</v>
      </c>
      <c r="I381" s="2">
        <v>950</v>
      </c>
      <c r="J381" s="3">
        <v>10</v>
      </c>
      <c r="K381" s="2">
        <v>7695</v>
      </c>
      <c r="L381" s="2">
        <v>5848</v>
      </c>
      <c r="M381" s="2">
        <v>1847</v>
      </c>
      <c r="N381" s="14" t="s">
        <v>41</v>
      </c>
      <c r="O381" s="14">
        <v>5</v>
      </c>
      <c r="V381" s="2"/>
    </row>
    <row r="382" spans="1:22">
      <c r="A382">
        <v>10404</v>
      </c>
      <c r="B382" s="7" t="s">
        <v>217</v>
      </c>
      <c r="C382" s="14" t="s">
        <v>116</v>
      </c>
      <c r="D382" s="14" t="s">
        <v>39</v>
      </c>
      <c r="E382" s="14" t="s">
        <v>56</v>
      </c>
      <c r="F382" s="14" t="s">
        <v>150</v>
      </c>
      <c r="G382" s="14" t="s">
        <v>74</v>
      </c>
      <c r="H382" s="14">
        <v>13</v>
      </c>
      <c r="I382" s="2">
        <v>1620</v>
      </c>
      <c r="J382" s="3">
        <v>20</v>
      </c>
      <c r="K382" s="2">
        <v>16848</v>
      </c>
      <c r="L382" s="2">
        <v>12636</v>
      </c>
      <c r="M382" s="2">
        <v>4212</v>
      </c>
      <c r="N382" s="14" t="s">
        <v>47</v>
      </c>
      <c r="O382" s="14">
        <v>2</v>
      </c>
      <c r="V382" s="2"/>
    </row>
    <row r="383" spans="1:22">
      <c r="A383">
        <v>10406</v>
      </c>
      <c r="B383" s="7" t="s">
        <v>410</v>
      </c>
      <c r="C383" s="14" t="s">
        <v>116</v>
      </c>
      <c r="D383" s="14" t="s">
        <v>45</v>
      </c>
      <c r="E383" s="14" t="s">
        <v>61</v>
      </c>
      <c r="F383" s="14" t="s">
        <v>52</v>
      </c>
      <c r="G383" s="14" t="s">
        <v>74</v>
      </c>
      <c r="H383" s="14">
        <v>15</v>
      </c>
      <c r="I383" s="2">
        <v>260</v>
      </c>
      <c r="J383" s="3">
        <v>20</v>
      </c>
      <c r="K383" s="2">
        <v>3120</v>
      </c>
      <c r="L383" s="2">
        <v>1965</v>
      </c>
      <c r="M383" s="2">
        <v>1155</v>
      </c>
      <c r="N383" s="14" t="s">
        <v>47</v>
      </c>
      <c r="O383" s="14">
        <v>2</v>
      </c>
      <c r="V383" s="2"/>
    </row>
    <row r="384" spans="1:22">
      <c r="A384">
        <v>10407</v>
      </c>
      <c r="B384" s="7" t="s">
        <v>411</v>
      </c>
      <c r="C384" s="14" t="s">
        <v>125</v>
      </c>
      <c r="D384" s="14" t="s">
        <v>42</v>
      </c>
      <c r="E384" s="14" t="s">
        <v>56</v>
      </c>
      <c r="F384" s="14" t="s">
        <v>57</v>
      </c>
      <c r="G384" s="14" t="s">
        <v>68</v>
      </c>
      <c r="H384" s="14">
        <v>5</v>
      </c>
      <c r="I384" s="2">
        <v>1260</v>
      </c>
      <c r="J384" s="3">
        <v>15</v>
      </c>
      <c r="K384" s="2">
        <v>5355</v>
      </c>
      <c r="L384" s="2">
        <v>3159</v>
      </c>
      <c r="M384" s="2">
        <v>2196</v>
      </c>
      <c r="N384" s="14" t="s">
        <v>41</v>
      </c>
      <c r="O384" s="14">
        <v>3</v>
      </c>
      <c r="V384" s="2"/>
    </row>
    <row r="385" spans="1:22">
      <c r="A385">
        <v>10408</v>
      </c>
      <c r="B385" s="7" t="s">
        <v>315</v>
      </c>
      <c r="C385" s="14" t="s">
        <v>128</v>
      </c>
      <c r="D385" s="14" t="s">
        <v>36</v>
      </c>
      <c r="E385" s="14" t="s">
        <v>56</v>
      </c>
      <c r="F385" s="14" t="s">
        <v>131</v>
      </c>
      <c r="G385" s="14" t="s">
        <v>64</v>
      </c>
      <c r="H385" s="14">
        <v>2</v>
      </c>
      <c r="I385" s="2">
        <v>880</v>
      </c>
      <c r="J385" s="3">
        <v>10</v>
      </c>
      <c r="K385" s="2">
        <v>1584</v>
      </c>
      <c r="L385" s="2">
        <v>950</v>
      </c>
      <c r="M385" s="2">
        <v>634</v>
      </c>
      <c r="N385" s="14" t="s">
        <v>38</v>
      </c>
      <c r="O385" s="14">
        <v>4</v>
      </c>
      <c r="V385" s="2"/>
    </row>
    <row r="386" spans="1:22">
      <c r="A386">
        <v>10409</v>
      </c>
      <c r="B386" s="7" t="s">
        <v>163</v>
      </c>
      <c r="C386" s="14" t="s">
        <v>128</v>
      </c>
      <c r="D386" s="14" t="s">
        <v>42</v>
      </c>
      <c r="E386" s="14" t="s">
        <v>61</v>
      </c>
      <c r="F386" s="14" t="s">
        <v>51</v>
      </c>
      <c r="G386" s="14" t="s">
        <v>72</v>
      </c>
      <c r="H386" s="14">
        <v>14</v>
      </c>
      <c r="I386" s="2">
        <v>1180</v>
      </c>
      <c r="J386" s="3">
        <v>10</v>
      </c>
      <c r="K386" s="2">
        <v>14868</v>
      </c>
      <c r="L386" s="2">
        <v>10704</v>
      </c>
      <c r="M386" s="2">
        <v>4164</v>
      </c>
      <c r="N386" s="14" t="s">
        <v>38</v>
      </c>
      <c r="O386" s="14">
        <v>2</v>
      </c>
      <c r="V386" s="2"/>
    </row>
    <row r="387" spans="1:22">
      <c r="A387">
        <v>10410</v>
      </c>
      <c r="B387" s="7" t="s">
        <v>381</v>
      </c>
      <c r="C387" s="14" t="s">
        <v>135</v>
      </c>
      <c r="D387" s="14" t="s">
        <v>42</v>
      </c>
      <c r="E387" s="14" t="s">
        <v>58</v>
      </c>
      <c r="F387" s="14" t="s">
        <v>37</v>
      </c>
      <c r="G387" s="14" t="s">
        <v>72</v>
      </c>
      <c r="H387" s="14">
        <v>8</v>
      </c>
      <c r="I387" s="2">
        <v>1150</v>
      </c>
      <c r="J387" s="3">
        <v>15</v>
      </c>
      <c r="K387" s="2">
        <v>7820</v>
      </c>
      <c r="L387" s="2">
        <v>4535</v>
      </c>
      <c r="M387" s="2">
        <v>3285</v>
      </c>
      <c r="N387" s="14" t="s">
        <v>44</v>
      </c>
      <c r="O387" s="14">
        <v>2</v>
      </c>
      <c r="V387" s="2"/>
    </row>
    <row r="388" spans="1:22">
      <c r="A388">
        <v>10411</v>
      </c>
      <c r="B388" s="7" t="s">
        <v>218</v>
      </c>
      <c r="C388" s="14" t="s">
        <v>141</v>
      </c>
      <c r="D388" s="14" t="s">
        <v>42</v>
      </c>
      <c r="E388" s="14" t="s">
        <v>58</v>
      </c>
      <c r="F388" s="14" t="s">
        <v>37</v>
      </c>
      <c r="G388" s="14" t="s">
        <v>64</v>
      </c>
      <c r="H388" s="14">
        <v>11</v>
      </c>
      <c r="I388" s="2">
        <v>810</v>
      </c>
      <c r="J388" s="3">
        <v>5</v>
      </c>
      <c r="K388" s="2">
        <v>8464.5</v>
      </c>
      <c r="L388" s="2">
        <v>6771</v>
      </c>
      <c r="M388" s="2">
        <v>1693.5</v>
      </c>
      <c r="N388" s="14" t="s">
        <v>41</v>
      </c>
      <c r="O388" s="14">
        <v>3</v>
      </c>
      <c r="V388" s="2"/>
    </row>
    <row r="389" spans="1:22">
      <c r="A389">
        <v>10412</v>
      </c>
      <c r="B389" s="7" t="s">
        <v>412</v>
      </c>
      <c r="C389" s="14" t="s">
        <v>130</v>
      </c>
      <c r="D389" s="14" t="s">
        <v>45</v>
      </c>
      <c r="E389" s="14" t="s">
        <v>56</v>
      </c>
      <c r="F389" s="14" t="s">
        <v>131</v>
      </c>
      <c r="G389" s="14" t="s">
        <v>64</v>
      </c>
      <c r="H389" s="14">
        <v>15</v>
      </c>
      <c r="I389" s="2">
        <v>870</v>
      </c>
      <c r="J389" s="3">
        <v>0</v>
      </c>
      <c r="K389" s="2">
        <v>13050</v>
      </c>
      <c r="L389" s="2">
        <v>10179</v>
      </c>
      <c r="M389" s="2">
        <v>2871</v>
      </c>
      <c r="N389" s="14" t="s">
        <v>44</v>
      </c>
      <c r="O389" s="14">
        <v>1</v>
      </c>
      <c r="V389" s="2"/>
    </row>
    <row r="390" spans="1:22">
      <c r="A390">
        <v>10413</v>
      </c>
      <c r="B390" s="7" t="s">
        <v>386</v>
      </c>
      <c r="C390" s="14" t="s">
        <v>120</v>
      </c>
      <c r="D390" s="14" t="s">
        <v>39</v>
      </c>
      <c r="E390" s="14" t="s">
        <v>58</v>
      </c>
      <c r="F390" s="14" t="s">
        <v>43</v>
      </c>
      <c r="G390" s="14" t="s">
        <v>74</v>
      </c>
      <c r="H390" s="14">
        <v>8</v>
      </c>
      <c r="I390" s="2">
        <v>1380</v>
      </c>
      <c r="J390" s="3">
        <v>5</v>
      </c>
      <c r="K390" s="2">
        <v>10488</v>
      </c>
      <c r="L390" s="2">
        <v>8600</v>
      </c>
      <c r="M390" s="2">
        <v>1888</v>
      </c>
      <c r="N390" s="14" t="s">
        <v>38</v>
      </c>
      <c r="O390" s="14">
        <v>5</v>
      </c>
      <c r="V390" s="2"/>
    </row>
    <row r="391" spans="1:22">
      <c r="A391">
        <v>10414</v>
      </c>
      <c r="B391" s="7" t="s">
        <v>312</v>
      </c>
      <c r="C391" s="14" t="s">
        <v>111</v>
      </c>
      <c r="D391" s="14" t="s">
        <v>42</v>
      </c>
      <c r="E391" s="14" t="s">
        <v>61</v>
      </c>
      <c r="F391" s="14" t="s">
        <v>51</v>
      </c>
      <c r="G391" s="14" t="s">
        <v>68</v>
      </c>
      <c r="H391" s="14">
        <v>10</v>
      </c>
      <c r="I391" s="2">
        <v>280</v>
      </c>
      <c r="J391" s="3">
        <v>0</v>
      </c>
      <c r="K391" s="2">
        <v>2800</v>
      </c>
      <c r="L391" s="2">
        <v>1596</v>
      </c>
      <c r="M391" s="2">
        <v>1204</v>
      </c>
      <c r="N391" s="14" t="s">
        <v>47</v>
      </c>
      <c r="O391" s="14">
        <v>3</v>
      </c>
      <c r="V391" s="2"/>
    </row>
    <row r="392" spans="1:22">
      <c r="A392">
        <v>10415</v>
      </c>
      <c r="B392" s="7" t="s">
        <v>413</v>
      </c>
      <c r="C392" s="14" t="s">
        <v>125</v>
      </c>
      <c r="D392" s="14" t="s">
        <v>42</v>
      </c>
      <c r="E392" s="14" t="s">
        <v>56</v>
      </c>
      <c r="F392" s="14" t="s">
        <v>50</v>
      </c>
      <c r="G392" s="14" t="s">
        <v>68</v>
      </c>
      <c r="H392" s="14">
        <v>12</v>
      </c>
      <c r="I392" s="2">
        <v>1680</v>
      </c>
      <c r="J392" s="3">
        <v>5</v>
      </c>
      <c r="K392" s="2">
        <v>19152</v>
      </c>
      <c r="L392" s="2">
        <v>14938</v>
      </c>
      <c r="M392" s="2">
        <v>4214</v>
      </c>
      <c r="N392" s="14" t="s">
        <v>41</v>
      </c>
      <c r="O392" s="14">
        <v>5</v>
      </c>
      <c r="V392" s="2"/>
    </row>
    <row r="393" spans="1:22">
      <c r="A393">
        <v>10416</v>
      </c>
      <c r="B393" s="7" t="s">
        <v>414</v>
      </c>
      <c r="C393" s="14" t="s">
        <v>130</v>
      </c>
      <c r="D393" s="14" t="s">
        <v>42</v>
      </c>
      <c r="E393" s="14" t="s">
        <v>58</v>
      </c>
      <c r="F393" s="14" t="s">
        <v>37</v>
      </c>
      <c r="G393" s="14" t="s">
        <v>66</v>
      </c>
      <c r="H393" s="14">
        <v>4</v>
      </c>
      <c r="I393" s="2">
        <v>1220</v>
      </c>
      <c r="J393" s="3">
        <v>5</v>
      </c>
      <c r="K393" s="2">
        <v>4636</v>
      </c>
      <c r="L393" s="2">
        <v>3337</v>
      </c>
      <c r="M393" s="2">
        <v>1299</v>
      </c>
      <c r="N393" s="14" t="s">
        <v>47</v>
      </c>
      <c r="O393" s="14">
        <v>4</v>
      </c>
      <c r="V393" s="2"/>
    </row>
    <row r="394" spans="1:22">
      <c r="A394">
        <v>10417</v>
      </c>
      <c r="B394" s="7" t="s">
        <v>280</v>
      </c>
      <c r="C394" s="14" t="s">
        <v>120</v>
      </c>
      <c r="D394" s="14" t="s">
        <v>36</v>
      </c>
      <c r="E394" s="14" t="s">
        <v>58</v>
      </c>
      <c r="F394" s="14" t="s">
        <v>40</v>
      </c>
      <c r="G394" s="14" t="s">
        <v>63</v>
      </c>
      <c r="H394" s="14">
        <v>5</v>
      </c>
      <c r="I394" s="2">
        <v>500</v>
      </c>
      <c r="J394" s="3">
        <v>5</v>
      </c>
      <c r="K394" s="2">
        <v>2375</v>
      </c>
      <c r="L394" s="2">
        <v>1496</v>
      </c>
      <c r="M394" s="2">
        <v>879</v>
      </c>
      <c r="N394" s="14" t="s">
        <v>38</v>
      </c>
      <c r="O394" s="14">
        <v>5</v>
      </c>
      <c r="V394" s="2"/>
    </row>
    <row r="395" spans="1:22">
      <c r="A395">
        <v>10418</v>
      </c>
      <c r="B395" s="7" t="s">
        <v>415</v>
      </c>
      <c r="C395" s="14" t="s">
        <v>137</v>
      </c>
      <c r="D395" s="14" t="s">
        <v>45</v>
      </c>
      <c r="E395" s="14" t="s">
        <v>61</v>
      </c>
      <c r="F395" s="14" t="s">
        <v>117</v>
      </c>
      <c r="G395" s="14" t="s">
        <v>72</v>
      </c>
      <c r="H395" s="14">
        <v>14</v>
      </c>
      <c r="I395" s="2">
        <v>740</v>
      </c>
      <c r="J395" s="3">
        <v>0</v>
      </c>
      <c r="K395" s="2">
        <v>10360</v>
      </c>
      <c r="L395" s="2">
        <v>6941</v>
      </c>
      <c r="M395" s="2">
        <v>3419</v>
      </c>
      <c r="N395" s="14" t="s">
        <v>38</v>
      </c>
      <c r="O395" s="14">
        <v>1</v>
      </c>
      <c r="V395" s="2"/>
    </row>
    <row r="396" spans="1:22">
      <c r="A396">
        <v>10419</v>
      </c>
      <c r="B396" s="7" t="s">
        <v>358</v>
      </c>
      <c r="C396" s="14" t="s">
        <v>128</v>
      </c>
      <c r="D396" s="14" t="s">
        <v>42</v>
      </c>
      <c r="E396" s="14" t="s">
        <v>56</v>
      </c>
      <c r="F396" s="14" t="s">
        <v>50</v>
      </c>
      <c r="G396" s="14" t="s">
        <v>74</v>
      </c>
      <c r="H396" s="14">
        <v>13</v>
      </c>
      <c r="I396" s="2">
        <v>1610</v>
      </c>
      <c r="J396" s="3">
        <v>0</v>
      </c>
      <c r="K396" s="2">
        <v>20930</v>
      </c>
      <c r="L396" s="2">
        <v>15069</v>
      </c>
      <c r="M396" s="2">
        <v>5861</v>
      </c>
      <c r="N396" s="14" t="s">
        <v>47</v>
      </c>
      <c r="O396" s="14">
        <v>3</v>
      </c>
      <c r="V396" s="2"/>
    </row>
    <row r="397" spans="1:22">
      <c r="A397">
        <v>10420</v>
      </c>
      <c r="B397" s="7" t="s">
        <v>227</v>
      </c>
      <c r="C397" s="14" t="s">
        <v>128</v>
      </c>
      <c r="D397" s="14" t="s">
        <v>45</v>
      </c>
      <c r="E397" s="14" t="s">
        <v>61</v>
      </c>
      <c r="F397" s="14" t="s">
        <v>117</v>
      </c>
      <c r="G397" s="14" t="s">
        <v>66</v>
      </c>
      <c r="H397" s="14">
        <v>6</v>
      </c>
      <c r="I397" s="2">
        <v>1630</v>
      </c>
      <c r="J397" s="3">
        <v>0</v>
      </c>
      <c r="K397" s="2">
        <v>9780</v>
      </c>
      <c r="L397" s="2">
        <v>6552</v>
      </c>
      <c r="M397" s="2">
        <v>3228</v>
      </c>
      <c r="N397" s="14" t="s">
        <v>41</v>
      </c>
      <c r="O397" s="14">
        <v>5</v>
      </c>
      <c r="V397" s="2"/>
    </row>
    <row r="398" spans="1:22">
      <c r="A398">
        <v>10421</v>
      </c>
      <c r="B398" s="7" t="s">
        <v>167</v>
      </c>
      <c r="C398" s="14" t="s">
        <v>111</v>
      </c>
      <c r="D398" s="14" t="s">
        <v>36</v>
      </c>
      <c r="E398" s="14" t="s">
        <v>61</v>
      </c>
      <c r="F398" s="14" t="s">
        <v>143</v>
      </c>
      <c r="G398" s="14" t="s">
        <v>63</v>
      </c>
      <c r="H398" s="14">
        <v>9</v>
      </c>
      <c r="I398" s="2">
        <v>1820</v>
      </c>
      <c r="J398" s="3">
        <v>5</v>
      </c>
      <c r="K398" s="2">
        <v>15561</v>
      </c>
      <c r="L398" s="2">
        <v>11515</v>
      </c>
      <c r="M398" s="2">
        <v>4046</v>
      </c>
      <c r="N398" s="14" t="s">
        <v>44</v>
      </c>
      <c r="O398" s="14">
        <v>5</v>
      </c>
      <c r="V398" s="2"/>
    </row>
    <row r="399" spans="1:22">
      <c r="A399">
        <v>10422</v>
      </c>
      <c r="B399" s="7" t="s">
        <v>408</v>
      </c>
      <c r="C399" s="14" t="s">
        <v>120</v>
      </c>
      <c r="D399" s="14" t="s">
        <v>39</v>
      </c>
      <c r="E399" s="14" t="s">
        <v>61</v>
      </c>
      <c r="F399" s="14" t="s">
        <v>117</v>
      </c>
      <c r="G399" s="14" t="s">
        <v>68</v>
      </c>
      <c r="H399" s="14">
        <v>12</v>
      </c>
      <c r="I399" s="2">
        <v>1150</v>
      </c>
      <c r="J399" s="3">
        <v>20</v>
      </c>
      <c r="K399" s="2">
        <v>11040</v>
      </c>
      <c r="L399" s="2">
        <v>6513</v>
      </c>
      <c r="M399" s="2">
        <v>4527</v>
      </c>
      <c r="N399" s="14" t="s">
        <v>47</v>
      </c>
      <c r="O399" s="14">
        <v>4</v>
      </c>
      <c r="V399" s="2"/>
    </row>
    <row r="400" spans="1:22">
      <c r="A400">
        <v>10423</v>
      </c>
      <c r="B400" s="7" t="s">
        <v>416</v>
      </c>
      <c r="C400" s="14" t="s">
        <v>147</v>
      </c>
      <c r="D400" s="14" t="s">
        <v>42</v>
      </c>
      <c r="E400" s="14" t="s">
        <v>61</v>
      </c>
      <c r="F400" s="14" t="s">
        <v>143</v>
      </c>
      <c r="G400" s="14" t="s">
        <v>70</v>
      </c>
      <c r="H400" s="14">
        <v>13</v>
      </c>
      <c r="I400" s="2">
        <v>640</v>
      </c>
      <c r="J400" s="3">
        <v>5</v>
      </c>
      <c r="K400" s="2">
        <v>7904</v>
      </c>
      <c r="L400" s="2">
        <v>6718</v>
      </c>
      <c r="M400" s="2">
        <v>1186</v>
      </c>
      <c r="N400" s="14" t="s">
        <v>47</v>
      </c>
      <c r="O400" s="14">
        <v>3</v>
      </c>
      <c r="V400" s="2"/>
    </row>
    <row r="401" spans="1:22">
      <c r="A401">
        <v>10424</v>
      </c>
      <c r="B401" s="7" t="s">
        <v>417</v>
      </c>
      <c r="C401" s="14" t="s">
        <v>137</v>
      </c>
      <c r="D401" s="14" t="s">
        <v>45</v>
      </c>
      <c r="E401" s="14" t="s">
        <v>56</v>
      </c>
      <c r="F401" s="14" t="s">
        <v>131</v>
      </c>
      <c r="G401" s="14" t="s">
        <v>66</v>
      </c>
      <c r="H401" s="14">
        <v>9</v>
      </c>
      <c r="I401" s="2">
        <v>1460</v>
      </c>
      <c r="J401" s="3">
        <v>15</v>
      </c>
      <c r="K401" s="2">
        <v>11169</v>
      </c>
      <c r="L401" s="2">
        <v>9381</v>
      </c>
      <c r="M401" s="2">
        <v>1788</v>
      </c>
      <c r="N401" s="14" t="s">
        <v>47</v>
      </c>
      <c r="O401" s="14">
        <v>3</v>
      </c>
      <c r="V401" s="2"/>
    </row>
    <row r="402" spans="1:22">
      <c r="A402">
        <v>10425</v>
      </c>
      <c r="B402" s="7" t="s">
        <v>218</v>
      </c>
      <c r="C402" s="14" t="s">
        <v>130</v>
      </c>
      <c r="D402" s="14" t="s">
        <v>39</v>
      </c>
      <c r="E402" s="14" t="s">
        <v>56</v>
      </c>
      <c r="F402" s="14" t="s">
        <v>131</v>
      </c>
      <c r="G402" s="14" t="s">
        <v>63</v>
      </c>
      <c r="H402" s="14">
        <v>6</v>
      </c>
      <c r="I402" s="2">
        <v>870</v>
      </c>
      <c r="J402" s="3">
        <v>0</v>
      </c>
      <c r="K402" s="2">
        <v>5220</v>
      </c>
      <c r="L402" s="2">
        <v>4019</v>
      </c>
      <c r="M402" s="2">
        <v>1201</v>
      </c>
      <c r="N402" s="14" t="s">
        <v>44</v>
      </c>
      <c r="O402" s="14">
        <v>1</v>
      </c>
      <c r="V402" s="2"/>
    </row>
    <row r="403" spans="1:22">
      <c r="A403">
        <v>10426</v>
      </c>
      <c r="B403" s="7" t="s">
        <v>126</v>
      </c>
      <c r="C403" s="14" t="s">
        <v>147</v>
      </c>
      <c r="D403" s="14" t="s">
        <v>45</v>
      </c>
      <c r="E403" s="14" t="s">
        <v>58</v>
      </c>
      <c r="F403" s="14" t="s">
        <v>55</v>
      </c>
      <c r="G403" s="14" t="s">
        <v>63</v>
      </c>
      <c r="H403" s="14">
        <v>5</v>
      </c>
      <c r="I403" s="2">
        <v>730</v>
      </c>
      <c r="J403" s="3">
        <v>10</v>
      </c>
      <c r="K403" s="2">
        <v>3285</v>
      </c>
      <c r="L403" s="2">
        <v>2660</v>
      </c>
      <c r="M403" s="2">
        <v>625</v>
      </c>
      <c r="N403" s="14" t="s">
        <v>44</v>
      </c>
      <c r="O403" s="14">
        <v>5</v>
      </c>
      <c r="V403" s="2"/>
    </row>
    <row r="404" spans="1:22">
      <c r="A404">
        <v>10427</v>
      </c>
      <c r="B404" s="7" t="s">
        <v>237</v>
      </c>
      <c r="C404" s="14" t="s">
        <v>147</v>
      </c>
      <c r="D404" s="14" t="s">
        <v>42</v>
      </c>
      <c r="E404" s="14" t="s">
        <v>58</v>
      </c>
      <c r="F404" s="14" t="s">
        <v>55</v>
      </c>
      <c r="G404" s="14" t="s">
        <v>63</v>
      </c>
      <c r="H404" s="14">
        <v>4</v>
      </c>
      <c r="I404" s="2">
        <v>280</v>
      </c>
      <c r="J404" s="3">
        <v>15</v>
      </c>
      <c r="K404" s="2">
        <v>952</v>
      </c>
      <c r="L404" s="2">
        <v>675</v>
      </c>
      <c r="M404" s="2">
        <v>277</v>
      </c>
      <c r="N404" s="14" t="s">
        <v>44</v>
      </c>
      <c r="O404" s="14">
        <v>1</v>
      </c>
      <c r="V404" s="2"/>
    </row>
    <row r="405" spans="1:22">
      <c r="A405">
        <v>10428</v>
      </c>
      <c r="B405" s="7" t="s">
        <v>257</v>
      </c>
      <c r="C405" s="14" t="s">
        <v>111</v>
      </c>
      <c r="D405" s="14" t="s">
        <v>45</v>
      </c>
      <c r="E405" s="14" t="s">
        <v>61</v>
      </c>
      <c r="F405" s="14" t="s">
        <v>117</v>
      </c>
      <c r="G405" s="14" t="s">
        <v>68</v>
      </c>
      <c r="H405" s="14">
        <v>2</v>
      </c>
      <c r="I405" s="2">
        <v>1480</v>
      </c>
      <c r="J405" s="3">
        <v>5</v>
      </c>
      <c r="K405" s="2">
        <v>2812</v>
      </c>
      <c r="L405" s="2">
        <v>2305</v>
      </c>
      <c r="M405" s="2">
        <v>507</v>
      </c>
      <c r="N405" s="14" t="s">
        <v>41</v>
      </c>
      <c r="O405" s="14">
        <v>2</v>
      </c>
      <c r="V405" s="2"/>
    </row>
    <row r="406" spans="1:22">
      <c r="A406">
        <v>10429</v>
      </c>
      <c r="B406" s="7" t="s">
        <v>236</v>
      </c>
      <c r="C406" s="14" t="s">
        <v>147</v>
      </c>
      <c r="D406" s="14" t="s">
        <v>36</v>
      </c>
      <c r="E406" s="14" t="s">
        <v>56</v>
      </c>
      <c r="F406" s="14" t="s">
        <v>50</v>
      </c>
      <c r="G406" s="14" t="s">
        <v>64</v>
      </c>
      <c r="H406" s="14">
        <v>12</v>
      </c>
      <c r="I406" s="2">
        <v>1670</v>
      </c>
      <c r="J406" s="3">
        <v>20</v>
      </c>
      <c r="K406" s="2">
        <v>16032</v>
      </c>
      <c r="L406" s="2">
        <v>12024</v>
      </c>
      <c r="M406" s="2">
        <v>4008</v>
      </c>
      <c r="N406" s="14" t="s">
        <v>47</v>
      </c>
      <c r="O406" s="14">
        <v>5</v>
      </c>
      <c r="V406" s="2"/>
    </row>
    <row r="407" spans="1:22">
      <c r="A407">
        <v>10430</v>
      </c>
      <c r="B407" s="7" t="s">
        <v>213</v>
      </c>
      <c r="C407" s="14" t="s">
        <v>120</v>
      </c>
      <c r="D407" s="14" t="s">
        <v>42</v>
      </c>
      <c r="E407" s="14" t="s">
        <v>58</v>
      </c>
      <c r="F407" s="14" t="s">
        <v>43</v>
      </c>
      <c r="G407" s="14" t="s">
        <v>66</v>
      </c>
      <c r="H407" s="14">
        <v>13</v>
      </c>
      <c r="I407" s="2">
        <v>590</v>
      </c>
      <c r="J407" s="3">
        <v>10</v>
      </c>
      <c r="K407" s="2">
        <v>6903</v>
      </c>
      <c r="L407" s="2">
        <v>5453</v>
      </c>
      <c r="M407" s="2">
        <v>1450</v>
      </c>
      <c r="N407" s="14" t="s">
        <v>44</v>
      </c>
      <c r="O407" s="14">
        <v>1</v>
      </c>
      <c r="V407" s="2"/>
    </row>
    <row r="408" spans="1:22">
      <c r="A408">
        <v>10431</v>
      </c>
      <c r="B408" s="7" t="s">
        <v>418</v>
      </c>
      <c r="C408" s="14" t="s">
        <v>120</v>
      </c>
      <c r="D408" s="14" t="s">
        <v>36</v>
      </c>
      <c r="E408" s="14" t="s">
        <v>61</v>
      </c>
      <c r="F408" s="14" t="s">
        <v>46</v>
      </c>
      <c r="G408" s="14" t="s">
        <v>70</v>
      </c>
      <c r="H408" s="14">
        <v>8</v>
      </c>
      <c r="I408" s="2">
        <v>810</v>
      </c>
      <c r="J408" s="3">
        <v>5</v>
      </c>
      <c r="K408" s="2">
        <v>6156</v>
      </c>
      <c r="L408" s="2">
        <v>4617</v>
      </c>
      <c r="M408" s="2">
        <v>1539</v>
      </c>
      <c r="N408" s="14" t="s">
        <v>47</v>
      </c>
      <c r="O408" s="14">
        <v>1</v>
      </c>
      <c r="V408" s="2"/>
    </row>
    <row r="409" spans="1:22">
      <c r="A409">
        <v>10432</v>
      </c>
      <c r="B409" s="7" t="s">
        <v>374</v>
      </c>
      <c r="C409" s="14" t="s">
        <v>116</v>
      </c>
      <c r="D409" s="14" t="s">
        <v>36</v>
      </c>
      <c r="E409" s="14" t="s">
        <v>56</v>
      </c>
      <c r="F409" s="14" t="s">
        <v>50</v>
      </c>
      <c r="G409" s="14" t="s">
        <v>66</v>
      </c>
      <c r="H409" s="14">
        <v>13</v>
      </c>
      <c r="I409" s="2">
        <v>1530</v>
      </c>
      <c r="J409" s="3">
        <v>5</v>
      </c>
      <c r="K409" s="2">
        <v>18895.5</v>
      </c>
      <c r="L409" s="2">
        <v>15683</v>
      </c>
      <c r="M409" s="2">
        <v>3212.5</v>
      </c>
      <c r="N409" s="14" t="s">
        <v>44</v>
      </c>
      <c r="O409" s="14">
        <v>4</v>
      </c>
      <c r="V409" s="2"/>
    </row>
    <row r="410" spans="1:22">
      <c r="A410">
        <v>10433</v>
      </c>
      <c r="B410" s="7" t="s">
        <v>162</v>
      </c>
      <c r="C410" s="14" t="s">
        <v>141</v>
      </c>
      <c r="D410" s="14" t="s">
        <v>45</v>
      </c>
      <c r="E410" s="14" t="s">
        <v>56</v>
      </c>
      <c r="F410" s="14" t="s">
        <v>150</v>
      </c>
      <c r="G410" s="14" t="s">
        <v>63</v>
      </c>
      <c r="H410" s="14">
        <v>9</v>
      </c>
      <c r="I410" s="2">
        <v>830</v>
      </c>
      <c r="J410" s="3">
        <v>0</v>
      </c>
      <c r="K410" s="2">
        <v>7470</v>
      </c>
      <c r="L410" s="2">
        <v>5677</v>
      </c>
      <c r="M410" s="2">
        <v>1793</v>
      </c>
      <c r="N410" s="14" t="s">
        <v>47</v>
      </c>
      <c r="O410" s="14">
        <v>4</v>
      </c>
      <c r="V410" s="2"/>
    </row>
    <row r="411" spans="1:22">
      <c r="A411">
        <v>10434</v>
      </c>
      <c r="B411" s="7" t="s">
        <v>238</v>
      </c>
      <c r="C411" s="14" t="s">
        <v>147</v>
      </c>
      <c r="D411" s="14" t="s">
        <v>42</v>
      </c>
      <c r="E411" s="14" t="s">
        <v>58</v>
      </c>
      <c r="F411" s="14" t="s">
        <v>43</v>
      </c>
      <c r="G411" s="14" t="s">
        <v>70</v>
      </c>
      <c r="H411" s="14">
        <v>14</v>
      </c>
      <c r="I411" s="2">
        <v>1940</v>
      </c>
      <c r="J411" s="3">
        <v>5</v>
      </c>
      <c r="K411" s="2">
        <v>25802</v>
      </c>
      <c r="L411" s="2">
        <v>19093</v>
      </c>
      <c r="M411" s="2">
        <v>6709</v>
      </c>
      <c r="N411" s="14" t="s">
        <v>44</v>
      </c>
      <c r="O411" s="14">
        <v>2</v>
      </c>
      <c r="V411" s="2"/>
    </row>
    <row r="412" spans="1:22">
      <c r="A412">
        <v>10435</v>
      </c>
      <c r="B412" s="7" t="s">
        <v>276</v>
      </c>
      <c r="C412" s="14" t="s">
        <v>125</v>
      </c>
      <c r="D412" s="14" t="s">
        <v>36</v>
      </c>
      <c r="E412" s="14" t="s">
        <v>61</v>
      </c>
      <c r="F412" s="14" t="s">
        <v>52</v>
      </c>
      <c r="G412" s="14" t="s">
        <v>64</v>
      </c>
      <c r="H412" s="14">
        <v>3</v>
      </c>
      <c r="I412" s="2">
        <v>1210</v>
      </c>
      <c r="J412" s="3">
        <v>5</v>
      </c>
      <c r="K412" s="2">
        <v>3448.5</v>
      </c>
      <c r="L412" s="2">
        <v>2827</v>
      </c>
      <c r="M412" s="2">
        <v>621.5</v>
      </c>
      <c r="N412" s="14" t="s">
        <v>38</v>
      </c>
      <c r="O412" s="14">
        <v>3</v>
      </c>
      <c r="V412" s="2"/>
    </row>
    <row r="413" spans="1:22">
      <c r="A413">
        <v>10436</v>
      </c>
      <c r="B413" s="7" t="s">
        <v>419</v>
      </c>
      <c r="C413" s="14" t="s">
        <v>147</v>
      </c>
      <c r="D413" s="14" t="s">
        <v>45</v>
      </c>
      <c r="E413" s="14" t="s">
        <v>61</v>
      </c>
      <c r="F413" s="14" t="s">
        <v>117</v>
      </c>
      <c r="G413" s="14" t="s">
        <v>74</v>
      </c>
      <c r="H413" s="14">
        <v>2</v>
      </c>
      <c r="I413" s="2">
        <v>220</v>
      </c>
      <c r="J413" s="3">
        <v>10</v>
      </c>
      <c r="K413" s="2">
        <v>396</v>
      </c>
      <c r="L413" s="2">
        <v>265</v>
      </c>
      <c r="M413" s="2">
        <v>131</v>
      </c>
      <c r="N413" s="14" t="s">
        <v>47</v>
      </c>
      <c r="O413" s="14">
        <v>4</v>
      </c>
      <c r="V413" s="2"/>
    </row>
    <row r="414" spans="1:22">
      <c r="A414">
        <v>10437</v>
      </c>
      <c r="B414" s="7" t="s">
        <v>300</v>
      </c>
      <c r="C414" s="14" t="s">
        <v>111</v>
      </c>
      <c r="D414" s="14" t="s">
        <v>45</v>
      </c>
      <c r="E414" s="14" t="s">
        <v>58</v>
      </c>
      <c r="F414" s="14" t="s">
        <v>43</v>
      </c>
      <c r="G414" s="14" t="s">
        <v>66</v>
      </c>
      <c r="H414" s="14">
        <v>15</v>
      </c>
      <c r="I414" s="2">
        <v>1850</v>
      </c>
      <c r="J414" s="3">
        <v>10</v>
      </c>
      <c r="K414" s="2">
        <v>24975</v>
      </c>
      <c r="L414" s="2">
        <v>18481</v>
      </c>
      <c r="M414" s="2">
        <v>6494</v>
      </c>
      <c r="N414" s="14" t="s">
        <v>44</v>
      </c>
      <c r="O414" s="14">
        <v>3</v>
      </c>
      <c r="V414" s="2"/>
    </row>
    <row r="415" spans="1:22">
      <c r="A415">
        <v>10438</v>
      </c>
      <c r="B415" s="7" t="s">
        <v>197</v>
      </c>
      <c r="C415" s="14" t="s">
        <v>111</v>
      </c>
      <c r="D415" s="14" t="s">
        <v>45</v>
      </c>
      <c r="E415" s="14" t="s">
        <v>61</v>
      </c>
      <c r="F415" s="14" t="s">
        <v>143</v>
      </c>
      <c r="G415" s="14" t="s">
        <v>66</v>
      </c>
      <c r="H415" s="14">
        <v>2</v>
      </c>
      <c r="I415" s="2">
        <v>1180</v>
      </c>
      <c r="J415" s="3">
        <v>15</v>
      </c>
      <c r="K415" s="2">
        <v>2006</v>
      </c>
      <c r="L415" s="2">
        <v>1404</v>
      </c>
      <c r="M415" s="2">
        <v>602</v>
      </c>
      <c r="N415" s="14" t="s">
        <v>44</v>
      </c>
      <c r="O415" s="14">
        <v>2</v>
      </c>
      <c r="V415" s="2"/>
    </row>
    <row r="416" spans="1:22">
      <c r="A416">
        <v>10439</v>
      </c>
      <c r="B416" s="7" t="s">
        <v>420</v>
      </c>
      <c r="C416" s="14" t="s">
        <v>120</v>
      </c>
      <c r="D416" s="14" t="s">
        <v>45</v>
      </c>
      <c r="E416" s="14" t="s">
        <v>61</v>
      </c>
      <c r="F416" s="14" t="s">
        <v>143</v>
      </c>
      <c r="G416" s="14" t="s">
        <v>72</v>
      </c>
      <c r="H416" s="14">
        <v>1</v>
      </c>
      <c r="I416" s="2">
        <v>1460</v>
      </c>
      <c r="J416" s="3">
        <v>20</v>
      </c>
      <c r="K416" s="2">
        <v>1168</v>
      </c>
      <c r="L416" s="2">
        <v>817</v>
      </c>
      <c r="M416" s="2">
        <v>351</v>
      </c>
      <c r="N416" s="14" t="s">
        <v>44</v>
      </c>
      <c r="O416" s="14">
        <v>5</v>
      </c>
      <c r="V416" s="2"/>
    </row>
    <row r="417" spans="1:22">
      <c r="A417">
        <v>10440</v>
      </c>
      <c r="B417" s="7" t="s">
        <v>421</v>
      </c>
      <c r="C417" s="14" t="s">
        <v>130</v>
      </c>
      <c r="D417" s="14" t="s">
        <v>45</v>
      </c>
      <c r="E417" s="14" t="s">
        <v>56</v>
      </c>
      <c r="F417" s="14" t="s">
        <v>131</v>
      </c>
      <c r="G417" s="14" t="s">
        <v>66</v>
      </c>
      <c r="H417" s="14">
        <v>9</v>
      </c>
      <c r="I417" s="2">
        <v>520</v>
      </c>
      <c r="J417" s="3">
        <v>10</v>
      </c>
      <c r="K417" s="2">
        <v>4212</v>
      </c>
      <c r="L417" s="2">
        <v>2442</v>
      </c>
      <c r="M417" s="2">
        <v>1770</v>
      </c>
      <c r="N417" s="14" t="s">
        <v>44</v>
      </c>
      <c r="O417" s="14">
        <v>4</v>
      </c>
      <c r="V417" s="2"/>
    </row>
    <row r="418" spans="1:22">
      <c r="A418">
        <v>10441</v>
      </c>
      <c r="B418" s="7" t="s">
        <v>422</v>
      </c>
      <c r="C418" s="14" t="s">
        <v>141</v>
      </c>
      <c r="D418" s="14" t="s">
        <v>45</v>
      </c>
      <c r="E418" s="14" t="s">
        <v>56</v>
      </c>
      <c r="F418" s="14" t="s">
        <v>49</v>
      </c>
      <c r="G418" s="14" t="s">
        <v>64</v>
      </c>
      <c r="H418" s="14">
        <v>14</v>
      </c>
      <c r="I418" s="2">
        <v>1240</v>
      </c>
      <c r="J418" s="3">
        <v>20</v>
      </c>
      <c r="K418" s="2">
        <v>13888</v>
      </c>
      <c r="L418" s="2">
        <v>10832</v>
      </c>
      <c r="M418" s="2">
        <v>3056</v>
      </c>
      <c r="N418" s="14" t="s">
        <v>47</v>
      </c>
      <c r="O418" s="14">
        <v>4</v>
      </c>
      <c r="V418" s="2"/>
    </row>
    <row r="419" spans="1:22">
      <c r="A419">
        <v>10442</v>
      </c>
      <c r="B419" s="7" t="s">
        <v>423</v>
      </c>
      <c r="C419" s="14" t="s">
        <v>116</v>
      </c>
      <c r="D419" s="14" t="s">
        <v>39</v>
      </c>
      <c r="E419" s="14" t="s">
        <v>58</v>
      </c>
      <c r="F419" s="14" t="s">
        <v>37</v>
      </c>
      <c r="G419" s="14" t="s">
        <v>64</v>
      </c>
      <c r="H419" s="14">
        <v>7</v>
      </c>
      <c r="I419" s="2">
        <v>810</v>
      </c>
      <c r="J419" s="3">
        <v>5</v>
      </c>
      <c r="K419" s="2">
        <v>5386.5</v>
      </c>
      <c r="L419" s="2">
        <v>3824</v>
      </c>
      <c r="M419" s="2">
        <v>1562.5</v>
      </c>
      <c r="N419" s="14" t="s">
        <v>38</v>
      </c>
      <c r="O419" s="14">
        <v>3</v>
      </c>
      <c r="V419" s="2"/>
    </row>
    <row r="420" spans="1:22">
      <c r="A420">
        <v>10443</v>
      </c>
      <c r="B420" s="7" t="s">
        <v>313</v>
      </c>
      <c r="C420" s="14" t="s">
        <v>147</v>
      </c>
      <c r="D420" s="14" t="s">
        <v>39</v>
      </c>
      <c r="E420" s="14" t="s">
        <v>61</v>
      </c>
      <c r="F420" s="14" t="s">
        <v>143</v>
      </c>
      <c r="G420" s="14" t="s">
        <v>64</v>
      </c>
      <c r="H420" s="14">
        <v>7</v>
      </c>
      <c r="I420" s="2">
        <v>1470</v>
      </c>
      <c r="J420" s="3">
        <v>5</v>
      </c>
      <c r="K420" s="2">
        <v>9775.5</v>
      </c>
      <c r="L420" s="2">
        <v>5865</v>
      </c>
      <c r="M420" s="2">
        <v>3910.5</v>
      </c>
      <c r="N420" s="14" t="s">
        <v>41</v>
      </c>
      <c r="O420" s="14">
        <v>3</v>
      </c>
      <c r="V420" s="2"/>
    </row>
    <row r="421" spans="1:22">
      <c r="A421">
        <v>10444</v>
      </c>
      <c r="B421" s="7" t="s">
        <v>424</v>
      </c>
      <c r="C421" s="14" t="s">
        <v>125</v>
      </c>
      <c r="D421" s="14" t="s">
        <v>42</v>
      </c>
      <c r="E421" s="14" t="s">
        <v>56</v>
      </c>
      <c r="F421" s="14" t="s">
        <v>49</v>
      </c>
      <c r="G421" s="14" t="s">
        <v>70</v>
      </c>
      <c r="H421" s="14">
        <v>13</v>
      </c>
      <c r="I421" s="2">
        <v>1770</v>
      </c>
      <c r="J421" s="3">
        <v>0</v>
      </c>
      <c r="K421" s="2">
        <v>23010</v>
      </c>
      <c r="L421" s="2">
        <v>16567</v>
      </c>
      <c r="M421" s="2">
        <v>6443</v>
      </c>
      <c r="N421" s="14" t="s">
        <v>38</v>
      </c>
      <c r="O421" s="14">
        <v>3</v>
      </c>
      <c r="V421" s="2"/>
    </row>
    <row r="422" spans="1:22">
      <c r="A422">
        <v>10445</v>
      </c>
      <c r="B422" s="7" t="s">
        <v>314</v>
      </c>
      <c r="C422" s="14" t="s">
        <v>135</v>
      </c>
      <c r="D422" s="14" t="s">
        <v>36</v>
      </c>
      <c r="E422" s="14" t="s">
        <v>56</v>
      </c>
      <c r="F422" s="14" t="s">
        <v>50</v>
      </c>
      <c r="G422" s="14" t="s">
        <v>64</v>
      </c>
      <c r="H422" s="14">
        <v>12</v>
      </c>
      <c r="I422" s="2">
        <v>780</v>
      </c>
      <c r="J422" s="3">
        <v>5</v>
      </c>
      <c r="K422" s="2">
        <v>8892</v>
      </c>
      <c r="L422" s="2">
        <v>5513</v>
      </c>
      <c r="M422" s="2">
        <v>3379</v>
      </c>
      <c r="N422" s="14" t="s">
        <v>47</v>
      </c>
      <c r="O422" s="14">
        <v>5</v>
      </c>
      <c r="V422" s="2"/>
    </row>
    <row r="423" spans="1:22">
      <c r="A423">
        <v>10446</v>
      </c>
      <c r="B423" s="7" t="s">
        <v>425</v>
      </c>
      <c r="C423" s="14" t="s">
        <v>120</v>
      </c>
      <c r="D423" s="14" t="s">
        <v>39</v>
      </c>
      <c r="E423" s="14" t="s">
        <v>56</v>
      </c>
      <c r="F423" s="14" t="s">
        <v>57</v>
      </c>
      <c r="G423" s="14" t="s">
        <v>64</v>
      </c>
      <c r="H423" s="14">
        <v>7</v>
      </c>
      <c r="I423" s="2">
        <v>1020</v>
      </c>
      <c r="J423" s="3">
        <v>15</v>
      </c>
      <c r="K423" s="2">
        <v>6069</v>
      </c>
      <c r="L423" s="2">
        <v>4126</v>
      </c>
      <c r="M423" s="2">
        <v>1943</v>
      </c>
      <c r="N423" s="14" t="s">
        <v>38</v>
      </c>
      <c r="O423" s="14">
        <v>2</v>
      </c>
      <c r="V423" s="2"/>
    </row>
    <row r="424" spans="1:22">
      <c r="A424">
        <v>10447</v>
      </c>
      <c r="B424" s="7" t="s">
        <v>268</v>
      </c>
      <c r="C424" s="14" t="s">
        <v>111</v>
      </c>
      <c r="D424" s="14" t="s">
        <v>45</v>
      </c>
      <c r="E424" s="14" t="s">
        <v>58</v>
      </c>
      <c r="F424" s="14" t="s">
        <v>37</v>
      </c>
      <c r="G424" s="14" t="s">
        <v>64</v>
      </c>
      <c r="H424" s="14">
        <v>9</v>
      </c>
      <c r="I424" s="2">
        <v>1900</v>
      </c>
      <c r="J424" s="3">
        <v>20</v>
      </c>
      <c r="K424" s="2">
        <v>13680</v>
      </c>
      <c r="L424" s="2">
        <v>11217</v>
      </c>
      <c r="M424" s="2">
        <v>2463</v>
      </c>
      <c r="N424" s="14" t="s">
        <v>47</v>
      </c>
      <c r="O424" s="14">
        <v>5</v>
      </c>
      <c r="V424" s="2"/>
    </row>
    <row r="425" spans="1:22">
      <c r="A425">
        <v>10448</v>
      </c>
      <c r="B425" s="7" t="s">
        <v>426</v>
      </c>
      <c r="C425" s="14" t="s">
        <v>116</v>
      </c>
      <c r="D425" s="14" t="s">
        <v>39</v>
      </c>
      <c r="E425" s="14" t="s">
        <v>61</v>
      </c>
      <c r="F425" s="14" t="s">
        <v>51</v>
      </c>
      <c r="G425" s="14" t="s">
        <v>66</v>
      </c>
      <c r="H425" s="14">
        <v>6</v>
      </c>
      <c r="I425" s="2">
        <v>810</v>
      </c>
      <c r="J425" s="3">
        <v>5</v>
      </c>
      <c r="K425" s="2">
        <v>4617</v>
      </c>
      <c r="L425" s="2">
        <v>3555</v>
      </c>
      <c r="M425" s="2">
        <v>1062</v>
      </c>
      <c r="N425" s="14" t="s">
        <v>38</v>
      </c>
      <c r="O425" s="14">
        <v>3</v>
      </c>
      <c r="V425" s="2"/>
    </row>
    <row r="426" spans="1:22">
      <c r="A426">
        <v>10449</v>
      </c>
      <c r="B426" s="7" t="s">
        <v>207</v>
      </c>
      <c r="C426" s="14" t="s">
        <v>125</v>
      </c>
      <c r="D426" s="14" t="s">
        <v>45</v>
      </c>
      <c r="E426" s="14" t="s">
        <v>61</v>
      </c>
      <c r="F426" s="14" t="s">
        <v>46</v>
      </c>
      <c r="G426" s="14" t="s">
        <v>63</v>
      </c>
      <c r="H426" s="14">
        <v>6</v>
      </c>
      <c r="I426" s="2">
        <v>490</v>
      </c>
      <c r="J426" s="3">
        <v>5</v>
      </c>
      <c r="K426" s="2">
        <v>2793</v>
      </c>
      <c r="L426" s="2">
        <v>1592</v>
      </c>
      <c r="M426" s="2">
        <v>1201</v>
      </c>
      <c r="N426" s="14" t="s">
        <v>47</v>
      </c>
      <c r="O426" s="14">
        <v>2</v>
      </c>
      <c r="V426" s="2"/>
    </row>
    <row r="427" spans="1:22">
      <c r="A427">
        <v>10450</v>
      </c>
      <c r="B427" s="7" t="s">
        <v>427</v>
      </c>
      <c r="C427" s="14" t="s">
        <v>111</v>
      </c>
      <c r="D427" s="14" t="s">
        <v>45</v>
      </c>
      <c r="E427" s="14" t="s">
        <v>58</v>
      </c>
      <c r="F427" s="14" t="s">
        <v>37</v>
      </c>
      <c r="G427" s="14" t="s">
        <v>72</v>
      </c>
      <c r="H427" s="14">
        <v>14</v>
      </c>
      <c r="I427" s="2">
        <v>1750</v>
      </c>
      <c r="J427" s="3">
        <v>5</v>
      </c>
      <c r="K427" s="2">
        <v>23275</v>
      </c>
      <c r="L427" s="2">
        <v>18852</v>
      </c>
      <c r="M427" s="2">
        <v>4423</v>
      </c>
      <c r="N427" s="14" t="s">
        <v>38</v>
      </c>
      <c r="O427" s="14">
        <v>5</v>
      </c>
      <c r="V427" s="2"/>
    </row>
    <row r="428" spans="1:22">
      <c r="A428">
        <v>10451</v>
      </c>
      <c r="B428" s="7" t="s">
        <v>428</v>
      </c>
      <c r="C428" s="14" t="s">
        <v>116</v>
      </c>
      <c r="D428" s="14" t="s">
        <v>42</v>
      </c>
      <c r="E428" s="14" t="s">
        <v>56</v>
      </c>
      <c r="F428" s="14" t="s">
        <v>50</v>
      </c>
      <c r="G428" s="14" t="s">
        <v>63</v>
      </c>
      <c r="H428" s="14">
        <v>15</v>
      </c>
      <c r="I428" s="2">
        <v>510</v>
      </c>
      <c r="J428" s="3">
        <v>0</v>
      </c>
      <c r="K428" s="2">
        <v>7650</v>
      </c>
      <c r="L428" s="2">
        <v>4972</v>
      </c>
      <c r="M428" s="2">
        <v>2678</v>
      </c>
      <c r="N428" s="14" t="s">
        <v>44</v>
      </c>
      <c r="O428" s="14">
        <v>4</v>
      </c>
      <c r="V428" s="2"/>
    </row>
    <row r="429" spans="1:22">
      <c r="A429">
        <v>10452</v>
      </c>
      <c r="B429" s="7" t="s">
        <v>126</v>
      </c>
      <c r="C429" s="14" t="s">
        <v>147</v>
      </c>
      <c r="D429" s="14" t="s">
        <v>39</v>
      </c>
      <c r="E429" s="14" t="s">
        <v>61</v>
      </c>
      <c r="F429" s="14" t="s">
        <v>52</v>
      </c>
      <c r="G429" s="14" t="s">
        <v>74</v>
      </c>
      <c r="H429" s="14">
        <v>2</v>
      </c>
      <c r="I429" s="2">
        <v>1000</v>
      </c>
      <c r="J429" s="3">
        <v>15</v>
      </c>
      <c r="K429" s="2">
        <v>1700</v>
      </c>
      <c r="L429" s="2">
        <v>1258</v>
      </c>
      <c r="M429" s="2">
        <v>442</v>
      </c>
      <c r="N429" s="14" t="s">
        <v>44</v>
      </c>
      <c r="O429" s="14">
        <v>4</v>
      </c>
      <c r="V429" s="2"/>
    </row>
    <row r="430" spans="1:22">
      <c r="A430">
        <v>10453</v>
      </c>
      <c r="B430" s="7" t="s">
        <v>429</v>
      </c>
      <c r="C430" s="14" t="s">
        <v>111</v>
      </c>
      <c r="D430" s="14" t="s">
        <v>45</v>
      </c>
      <c r="E430" s="14" t="s">
        <v>61</v>
      </c>
      <c r="F430" s="14" t="s">
        <v>52</v>
      </c>
      <c r="G430" s="14" t="s">
        <v>70</v>
      </c>
      <c r="H430" s="14">
        <v>6</v>
      </c>
      <c r="I430" s="2">
        <v>620</v>
      </c>
      <c r="J430" s="3">
        <v>20</v>
      </c>
      <c r="K430" s="2">
        <v>2976</v>
      </c>
      <c r="L430" s="2">
        <v>2529</v>
      </c>
      <c r="M430" s="2">
        <v>447</v>
      </c>
      <c r="N430" s="14" t="s">
        <v>41</v>
      </c>
      <c r="O430" s="14">
        <v>4</v>
      </c>
      <c r="V430" s="2"/>
    </row>
    <row r="431" spans="1:22">
      <c r="A431">
        <v>10454</v>
      </c>
      <c r="B431" s="7" t="s">
        <v>430</v>
      </c>
      <c r="C431" s="14" t="s">
        <v>141</v>
      </c>
      <c r="D431" s="14" t="s">
        <v>36</v>
      </c>
      <c r="E431" s="14" t="s">
        <v>56</v>
      </c>
      <c r="F431" s="14" t="s">
        <v>57</v>
      </c>
      <c r="G431" s="14" t="s">
        <v>68</v>
      </c>
      <c r="H431" s="14">
        <v>2</v>
      </c>
      <c r="I431" s="2">
        <v>420</v>
      </c>
      <c r="J431" s="3">
        <v>10</v>
      </c>
      <c r="K431" s="2">
        <v>756</v>
      </c>
      <c r="L431" s="2">
        <v>582</v>
      </c>
      <c r="M431" s="2">
        <v>174</v>
      </c>
      <c r="N431" s="14" t="s">
        <v>41</v>
      </c>
      <c r="O431" s="14">
        <v>3</v>
      </c>
      <c r="V431" s="2"/>
    </row>
    <row r="432" spans="1:22">
      <c r="A432">
        <v>10455</v>
      </c>
      <c r="B432" s="7" t="s">
        <v>431</v>
      </c>
      <c r="C432" s="14" t="s">
        <v>116</v>
      </c>
      <c r="D432" s="14" t="s">
        <v>36</v>
      </c>
      <c r="E432" s="14" t="s">
        <v>56</v>
      </c>
      <c r="F432" s="14" t="s">
        <v>50</v>
      </c>
      <c r="G432" s="14" t="s">
        <v>63</v>
      </c>
      <c r="H432" s="14">
        <v>7</v>
      </c>
      <c r="I432" s="2">
        <v>830</v>
      </c>
      <c r="J432" s="3">
        <v>10</v>
      </c>
      <c r="K432" s="2">
        <v>5229</v>
      </c>
      <c r="L432" s="2">
        <v>4078</v>
      </c>
      <c r="M432" s="2">
        <v>1151</v>
      </c>
      <c r="N432" s="14" t="s">
        <v>47</v>
      </c>
      <c r="O432" s="14">
        <v>1</v>
      </c>
      <c r="V432" s="2"/>
    </row>
    <row r="433" spans="1:22">
      <c r="A433">
        <v>10456</v>
      </c>
      <c r="B433" s="7" t="s">
        <v>394</v>
      </c>
      <c r="C433" s="14" t="s">
        <v>141</v>
      </c>
      <c r="D433" s="14" t="s">
        <v>42</v>
      </c>
      <c r="E433" s="14" t="s">
        <v>61</v>
      </c>
      <c r="F433" s="14" t="s">
        <v>46</v>
      </c>
      <c r="G433" s="14" t="s">
        <v>70</v>
      </c>
      <c r="H433" s="14">
        <v>11</v>
      </c>
      <c r="I433" s="2">
        <v>1940</v>
      </c>
      <c r="J433" s="3">
        <v>5</v>
      </c>
      <c r="K433" s="2">
        <v>20273</v>
      </c>
      <c r="L433" s="2">
        <v>16015</v>
      </c>
      <c r="M433" s="2">
        <v>4258</v>
      </c>
      <c r="N433" s="14" t="s">
        <v>44</v>
      </c>
      <c r="O433" s="14">
        <v>2</v>
      </c>
      <c r="V433" s="2"/>
    </row>
    <row r="434" spans="1:22">
      <c r="A434">
        <v>10457</v>
      </c>
      <c r="B434" s="7" t="s">
        <v>69</v>
      </c>
      <c r="C434" s="14" t="s">
        <v>111</v>
      </c>
      <c r="D434" s="14" t="s">
        <v>36</v>
      </c>
      <c r="E434" s="14" t="s">
        <v>56</v>
      </c>
      <c r="F434" s="14" t="s">
        <v>57</v>
      </c>
      <c r="G434" s="14" t="s">
        <v>63</v>
      </c>
      <c r="H434" s="14">
        <v>15</v>
      </c>
      <c r="I434" s="2">
        <v>380</v>
      </c>
      <c r="J434" s="3">
        <v>20</v>
      </c>
      <c r="K434" s="2">
        <v>4560</v>
      </c>
      <c r="L434" s="2">
        <v>2690</v>
      </c>
      <c r="M434" s="2">
        <v>1870</v>
      </c>
      <c r="N434" s="14" t="s">
        <v>47</v>
      </c>
      <c r="O434" s="14">
        <v>2</v>
      </c>
      <c r="V434" s="2"/>
    </row>
    <row r="435" spans="1:22">
      <c r="A435">
        <v>10458</v>
      </c>
      <c r="B435" s="7" t="s">
        <v>312</v>
      </c>
      <c r="C435" s="14" t="s">
        <v>125</v>
      </c>
      <c r="D435" s="14" t="s">
        <v>36</v>
      </c>
      <c r="E435" s="14" t="s">
        <v>58</v>
      </c>
      <c r="F435" s="14" t="s">
        <v>37</v>
      </c>
      <c r="G435" s="14" t="s">
        <v>72</v>
      </c>
      <c r="H435" s="14">
        <v>11</v>
      </c>
      <c r="I435" s="2">
        <v>970</v>
      </c>
      <c r="J435" s="3">
        <v>10</v>
      </c>
      <c r="K435" s="2">
        <v>9603</v>
      </c>
      <c r="L435" s="2">
        <v>6818</v>
      </c>
      <c r="M435" s="2">
        <v>2785</v>
      </c>
      <c r="N435" s="14" t="s">
        <v>41</v>
      </c>
      <c r="O435" s="14">
        <v>4</v>
      </c>
      <c r="V435" s="2"/>
    </row>
    <row r="436" spans="1:22">
      <c r="A436">
        <v>10459</v>
      </c>
      <c r="B436" s="7" t="s">
        <v>432</v>
      </c>
      <c r="C436" s="14" t="s">
        <v>128</v>
      </c>
      <c r="D436" s="14" t="s">
        <v>36</v>
      </c>
      <c r="E436" s="14" t="s">
        <v>56</v>
      </c>
      <c r="F436" s="14" t="s">
        <v>50</v>
      </c>
      <c r="G436" s="14" t="s">
        <v>74</v>
      </c>
      <c r="H436" s="14">
        <v>2</v>
      </c>
      <c r="I436" s="2">
        <v>1380</v>
      </c>
      <c r="J436" s="3">
        <v>5</v>
      </c>
      <c r="K436" s="2">
        <v>2622</v>
      </c>
      <c r="L436" s="2">
        <v>1546</v>
      </c>
      <c r="M436" s="2">
        <v>1076</v>
      </c>
      <c r="N436" s="14" t="s">
        <v>44</v>
      </c>
      <c r="O436" s="14">
        <v>1</v>
      </c>
      <c r="V436" s="2"/>
    </row>
    <row r="437" spans="1:22">
      <c r="A437">
        <v>10460</v>
      </c>
      <c r="B437" s="7" t="s">
        <v>375</v>
      </c>
      <c r="C437" s="14" t="s">
        <v>147</v>
      </c>
      <c r="D437" s="14" t="s">
        <v>45</v>
      </c>
      <c r="E437" s="14" t="s">
        <v>61</v>
      </c>
      <c r="F437" s="14" t="s">
        <v>143</v>
      </c>
      <c r="G437" s="14" t="s">
        <v>70</v>
      </c>
      <c r="H437" s="14">
        <v>2</v>
      </c>
      <c r="I437" s="2">
        <v>1820</v>
      </c>
      <c r="J437" s="3">
        <v>10</v>
      </c>
      <c r="K437" s="2">
        <v>3276</v>
      </c>
      <c r="L437" s="2">
        <v>2162</v>
      </c>
      <c r="M437" s="2">
        <v>1114</v>
      </c>
      <c r="N437" s="14" t="s">
        <v>44</v>
      </c>
      <c r="O437" s="14">
        <v>1</v>
      </c>
      <c r="V437" s="2"/>
    </row>
    <row r="438" spans="1:22">
      <c r="A438">
        <v>10461</v>
      </c>
      <c r="B438" s="7" t="s">
        <v>355</v>
      </c>
      <c r="C438" s="14" t="s">
        <v>141</v>
      </c>
      <c r="D438" s="14" t="s">
        <v>36</v>
      </c>
      <c r="E438" s="14" t="s">
        <v>56</v>
      </c>
      <c r="F438" s="14" t="s">
        <v>150</v>
      </c>
      <c r="G438" s="14" t="s">
        <v>64</v>
      </c>
      <c r="H438" s="14">
        <v>13</v>
      </c>
      <c r="I438" s="2">
        <v>1140</v>
      </c>
      <c r="J438" s="3">
        <v>10</v>
      </c>
      <c r="K438" s="2">
        <v>13338</v>
      </c>
      <c r="L438" s="2">
        <v>9469</v>
      </c>
      <c r="M438" s="2">
        <v>3869</v>
      </c>
      <c r="N438" s="14" t="s">
        <v>41</v>
      </c>
      <c r="O438" s="14">
        <v>4</v>
      </c>
      <c r="V438" s="2"/>
    </row>
    <row r="439" spans="1:22">
      <c r="A439">
        <v>10462</v>
      </c>
      <c r="B439" s="7" t="s">
        <v>433</v>
      </c>
      <c r="C439" s="14" t="s">
        <v>120</v>
      </c>
      <c r="D439" s="14" t="s">
        <v>42</v>
      </c>
      <c r="E439" s="14" t="s">
        <v>56</v>
      </c>
      <c r="F439" s="14" t="s">
        <v>131</v>
      </c>
      <c r="G439" s="14" t="s">
        <v>64</v>
      </c>
      <c r="H439" s="14">
        <v>4</v>
      </c>
      <c r="I439" s="2">
        <v>1170</v>
      </c>
      <c r="J439" s="3">
        <v>0</v>
      </c>
      <c r="K439" s="2">
        <v>4680</v>
      </c>
      <c r="L439" s="2">
        <v>3088</v>
      </c>
      <c r="M439" s="2">
        <v>1592</v>
      </c>
      <c r="N439" s="14" t="s">
        <v>38</v>
      </c>
      <c r="O439" s="14">
        <v>1</v>
      </c>
      <c r="V439" s="2"/>
    </row>
    <row r="440" spans="1:22">
      <c r="A440">
        <v>10463</v>
      </c>
      <c r="B440" s="7" t="s">
        <v>434</v>
      </c>
      <c r="C440" s="14" t="s">
        <v>141</v>
      </c>
      <c r="D440" s="14" t="s">
        <v>39</v>
      </c>
      <c r="E440" s="14" t="s">
        <v>61</v>
      </c>
      <c r="F440" s="14" t="s">
        <v>117</v>
      </c>
      <c r="G440" s="14" t="s">
        <v>70</v>
      </c>
      <c r="H440" s="14">
        <v>5</v>
      </c>
      <c r="I440" s="2">
        <v>390</v>
      </c>
      <c r="J440" s="3">
        <v>5</v>
      </c>
      <c r="K440" s="2">
        <v>1852.5</v>
      </c>
      <c r="L440" s="2">
        <v>1574</v>
      </c>
      <c r="M440" s="2">
        <v>278.5</v>
      </c>
      <c r="N440" s="14" t="s">
        <v>47</v>
      </c>
      <c r="O440" s="14">
        <v>5</v>
      </c>
      <c r="V440" s="2"/>
    </row>
    <row r="441" spans="1:22">
      <c r="A441">
        <v>10464</v>
      </c>
      <c r="B441" s="7" t="s">
        <v>124</v>
      </c>
      <c r="C441" s="14" t="s">
        <v>120</v>
      </c>
      <c r="D441" s="14" t="s">
        <v>36</v>
      </c>
      <c r="E441" s="14" t="s">
        <v>58</v>
      </c>
      <c r="F441" s="14" t="s">
        <v>43</v>
      </c>
      <c r="G441" s="14" t="s">
        <v>64</v>
      </c>
      <c r="H441" s="14">
        <v>4</v>
      </c>
      <c r="I441" s="2">
        <v>1000</v>
      </c>
      <c r="J441" s="3">
        <v>5</v>
      </c>
      <c r="K441" s="2">
        <v>3800</v>
      </c>
      <c r="L441" s="2">
        <v>2812</v>
      </c>
      <c r="M441" s="2">
        <v>988</v>
      </c>
      <c r="N441" s="14" t="s">
        <v>38</v>
      </c>
      <c r="O441" s="14">
        <v>5</v>
      </c>
      <c r="V441" s="2"/>
    </row>
    <row r="442" spans="1:22">
      <c r="A442">
        <v>10465</v>
      </c>
      <c r="B442" s="7" t="s">
        <v>301</v>
      </c>
      <c r="C442" s="14" t="s">
        <v>128</v>
      </c>
      <c r="D442" s="14" t="s">
        <v>42</v>
      </c>
      <c r="E442" s="14" t="s">
        <v>56</v>
      </c>
      <c r="F442" s="14" t="s">
        <v>150</v>
      </c>
      <c r="G442" s="14" t="s">
        <v>74</v>
      </c>
      <c r="H442" s="14">
        <v>7</v>
      </c>
      <c r="I442" s="2">
        <v>1230</v>
      </c>
      <c r="J442" s="3">
        <v>5</v>
      </c>
      <c r="K442" s="2">
        <v>8179.5</v>
      </c>
      <c r="L442" s="2">
        <v>5643</v>
      </c>
      <c r="M442" s="2">
        <v>2536.5</v>
      </c>
      <c r="N442" s="14" t="s">
        <v>38</v>
      </c>
      <c r="O442" s="14">
        <v>1</v>
      </c>
      <c r="V442" s="2"/>
    </row>
    <row r="443" spans="1:22">
      <c r="A443">
        <v>10466</v>
      </c>
      <c r="B443" s="7" t="s">
        <v>295</v>
      </c>
      <c r="C443" s="14" t="s">
        <v>120</v>
      </c>
      <c r="D443" s="14" t="s">
        <v>42</v>
      </c>
      <c r="E443" s="14" t="s">
        <v>58</v>
      </c>
      <c r="F443" s="14" t="s">
        <v>40</v>
      </c>
      <c r="G443" s="14" t="s">
        <v>72</v>
      </c>
      <c r="H443" s="14">
        <v>2</v>
      </c>
      <c r="I443" s="2">
        <v>1520</v>
      </c>
      <c r="J443" s="3">
        <v>5</v>
      </c>
      <c r="K443" s="2">
        <v>2888</v>
      </c>
      <c r="L443" s="2">
        <v>2166</v>
      </c>
      <c r="M443" s="2">
        <v>722</v>
      </c>
      <c r="N443" s="14" t="s">
        <v>38</v>
      </c>
      <c r="O443" s="14">
        <v>1</v>
      </c>
      <c r="V443" s="2"/>
    </row>
    <row r="444" spans="1:22">
      <c r="A444">
        <v>10468</v>
      </c>
      <c r="B444" s="7" t="s">
        <v>199</v>
      </c>
      <c r="C444" s="14" t="s">
        <v>141</v>
      </c>
      <c r="D444" s="14" t="s">
        <v>36</v>
      </c>
      <c r="E444" s="14" t="s">
        <v>58</v>
      </c>
      <c r="F444" s="14" t="s">
        <v>43</v>
      </c>
      <c r="G444" s="14" t="s">
        <v>63</v>
      </c>
      <c r="H444" s="14">
        <v>7</v>
      </c>
      <c r="I444" s="2">
        <v>1950</v>
      </c>
      <c r="J444" s="3">
        <v>10</v>
      </c>
      <c r="K444" s="2">
        <v>12285</v>
      </c>
      <c r="L444" s="2">
        <v>7739</v>
      </c>
      <c r="M444" s="2">
        <v>4546</v>
      </c>
      <c r="N444" s="14" t="s">
        <v>38</v>
      </c>
      <c r="O444" s="14">
        <v>2</v>
      </c>
      <c r="V444" s="2"/>
    </row>
    <row r="445" spans="1:22">
      <c r="A445">
        <v>10469</v>
      </c>
      <c r="B445" s="7" t="s">
        <v>385</v>
      </c>
      <c r="C445" s="14" t="s">
        <v>125</v>
      </c>
      <c r="D445" s="14" t="s">
        <v>36</v>
      </c>
      <c r="E445" s="14" t="s">
        <v>58</v>
      </c>
      <c r="F445" s="14" t="s">
        <v>43</v>
      </c>
      <c r="G445" s="14" t="s">
        <v>66</v>
      </c>
      <c r="H445" s="14">
        <v>9</v>
      </c>
      <c r="I445" s="2">
        <v>640</v>
      </c>
      <c r="J445" s="3">
        <v>0</v>
      </c>
      <c r="K445" s="2">
        <v>5760</v>
      </c>
      <c r="L445" s="2">
        <v>3456</v>
      </c>
      <c r="M445" s="2">
        <v>2304</v>
      </c>
      <c r="N445" s="14" t="s">
        <v>44</v>
      </c>
      <c r="O445" s="14">
        <v>4</v>
      </c>
      <c r="V445" s="2"/>
    </row>
    <row r="446" spans="1:22">
      <c r="A446">
        <v>10470</v>
      </c>
      <c r="B446" s="7" t="s">
        <v>320</v>
      </c>
      <c r="C446" s="14" t="s">
        <v>130</v>
      </c>
      <c r="D446" s="14" t="s">
        <v>45</v>
      </c>
      <c r="E446" s="14" t="s">
        <v>61</v>
      </c>
      <c r="F446" s="14" t="s">
        <v>117</v>
      </c>
      <c r="G446" s="14" t="s">
        <v>66</v>
      </c>
      <c r="H446" s="14">
        <v>10</v>
      </c>
      <c r="I446" s="2">
        <v>1330</v>
      </c>
      <c r="J446" s="3">
        <v>15</v>
      </c>
      <c r="K446" s="2">
        <v>11305</v>
      </c>
      <c r="L446" s="2">
        <v>7800</v>
      </c>
      <c r="M446" s="2">
        <v>3505</v>
      </c>
      <c r="N446" s="14" t="s">
        <v>38</v>
      </c>
      <c r="O446" s="14">
        <v>4</v>
      </c>
      <c r="V446" s="2"/>
    </row>
    <row r="447" spans="1:22">
      <c r="A447">
        <v>10471</v>
      </c>
      <c r="B447" s="7" t="s">
        <v>435</v>
      </c>
      <c r="C447" s="14" t="s">
        <v>137</v>
      </c>
      <c r="D447" s="14" t="s">
        <v>36</v>
      </c>
      <c r="E447" s="14" t="s">
        <v>58</v>
      </c>
      <c r="F447" s="14" t="s">
        <v>37</v>
      </c>
      <c r="G447" s="14" t="s">
        <v>66</v>
      </c>
      <c r="H447" s="14">
        <v>12</v>
      </c>
      <c r="I447" s="2">
        <v>1120</v>
      </c>
      <c r="J447" s="3">
        <v>5</v>
      </c>
      <c r="K447" s="2">
        <v>12768</v>
      </c>
      <c r="L447" s="2">
        <v>8426</v>
      </c>
      <c r="M447" s="2">
        <v>4342</v>
      </c>
      <c r="N447" s="14" t="s">
        <v>41</v>
      </c>
      <c r="O447" s="14">
        <v>5</v>
      </c>
      <c r="V447" s="2"/>
    </row>
    <row r="448" spans="1:22">
      <c r="A448">
        <v>10472</v>
      </c>
      <c r="B448" s="7" t="s">
        <v>308</v>
      </c>
      <c r="C448" s="14" t="s">
        <v>137</v>
      </c>
      <c r="D448" s="14" t="s">
        <v>45</v>
      </c>
      <c r="E448" s="14" t="s">
        <v>58</v>
      </c>
      <c r="F448" s="14" t="s">
        <v>43</v>
      </c>
      <c r="G448" s="14" t="s">
        <v>72</v>
      </c>
      <c r="H448" s="14">
        <v>9</v>
      </c>
      <c r="I448" s="2">
        <v>230</v>
      </c>
      <c r="J448" s="3">
        <v>20</v>
      </c>
      <c r="K448" s="2">
        <v>1656</v>
      </c>
      <c r="L448" s="2">
        <v>1258</v>
      </c>
      <c r="M448" s="2">
        <v>398</v>
      </c>
      <c r="N448" s="14" t="s">
        <v>38</v>
      </c>
      <c r="O448" s="14">
        <v>3</v>
      </c>
      <c r="V448" s="2"/>
    </row>
    <row r="449" spans="1:22">
      <c r="A449">
        <v>10473</v>
      </c>
      <c r="B449" s="7" t="s">
        <v>282</v>
      </c>
      <c r="C449" s="14" t="s">
        <v>135</v>
      </c>
      <c r="D449" s="14" t="s">
        <v>42</v>
      </c>
      <c r="E449" s="14" t="s">
        <v>58</v>
      </c>
      <c r="F449" s="14" t="s">
        <v>37</v>
      </c>
      <c r="G449" s="14" t="s">
        <v>64</v>
      </c>
      <c r="H449" s="14">
        <v>10</v>
      </c>
      <c r="I449" s="2">
        <v>320</v>
      </c>
      <c r="J449" s="3">
        <v>20</v>
      </c>
      <c r="K449" s="2">
        <v>2560</v>
      </c>
      <c r="L449" s="2">
        <v>2176</v>
      </c>
      <c r="M449" s="2">
        <v>384</v>
      </c>
      <c r="N449" s="14" t="s">
        <v>44</v>
      </c>
      <c r="O449" s="14">
        <v>4</v>
      </c>
      <c r="V449" s="2"/>
    </row>
    <row r="450" spans="1:22">
      <c r="A450">
        <v>10474</v>
      </c>
      <c r="B450" s="7" t="s">
        <v>386</v>
      </c>
      <c r="C450" s="14" t="s">
        <v>130</v>
      </c>
      <c r="D450" s="14" t="s">
        <v>39</v>
      </c>
      <c r="E450" s="14" t="s">
        <v>56</v>
      </c>
      <c r="F450" s="14" t="s">
        <v>131</v>
      </c>
      <c r="G450" s="14" t="s">
        <v>66</v>
      </c>
      <c r="H450" s="14">
        <v>2</v>
      </c>
      <c r="I450" s="2">
        <v>800</v>
      </c>
      <c r="J450" s="3">
        <v>5</v>
      </c>
      <c r="K450" s="2">
        <v>1520</v>
      </c>
      <c r="L450" s="2">
        <v>912</v>
      </c>
      <c r="M450" s="2">
        <v>608</v>
      </c>
      <c r="N450" s="14" t="s">
        <v>41</v>
      </c>
      <c r="O450" s="14">
        <v>1</v>
      </c>
      <c r="V450" s="2"/>
    </row>
    <row r="451" spans="1:22">
      <c r="A451">
        <v>10475</v>
      </c>
      <c r="B451" s="7" t="s">
        <v>436</v>
      </c>
      <c r="C451" s="14" t="s">
        <v>135</v>
      </c>
      <c r="D451" s="14" t="s">
        <v>42</v>
      </c>
      <c r="E451" s="14" t="s">
        <v>61</v>
      </c>
      <c r="F451" s="14" t="s">
        <v>52</v>
      </c>
      <c r="G451" s="14" t="s">
        <v>72</v>
      </c>
      <c r="H451" s="14">
        <v>1</v>
      </c>
      <c r="I451" s="2">
        <v>1500</v>
      </c>
      <c r="J451" s="3">
        <v>10</v>
      </c>
      <c r="K451" s="2">
        <v>1350</v>
      </c>
      <c r="L451" s="2">
        <v>1134</v>
      </c>
      <c r="M451" s="2">
        <v>216</v>
      </c>
      <c r="N451" s="14" t="s">
        <v>38</v>
      </c>
      <c r="O451" s="14">
        <v>3</v>
      </c>
      <c r="V451" s="2"/>
    </row>
    <row r="452" spans="1:22">
      <c r="A452">
        <v>10476</v>
      </c>
      <c r="B452" s="7" t="s">
        <v>292</v>
      </c>
      <c r="C452" s="14" t="s">
        <v>116</v>
      </c>
      <c r="D452" s="14" t="s">
        <v>36</v>
      </c>
      <c r="E452" s="14" t="s">
        <v>58</v>
      </c>
      <c r="F452" s="14" t="s">
        <v>40</v>
      </c>
      <c r="G452" s="14" t="s">
        <v>63</v>
      </c>
      <c r="H452" s="14">
        <v>10</v>
      </c>
      <c r="I452" s="2">
        <v>1490</v>
      </c>
      <c r="J452" s="3">
        <v>20</v>
      </c>
      <c r="K452" s="2">
        <v>11920</v>
      </c>
      <c r="L452" s="2">
        <v>6913</v>
      </c>
      <c r="M452" s="2">
        <v>5007</v>
      </c>
      <c r="N452" s="14" t="s">
        <v>44</v>
      </c>
      <c r="O452" s="14">
        <v>5</v>
      </c>
      <c r="V452" s="2"/>
    </row>
    <row r="453" spans="1:22">
      <c r="A453">
        <v>10477</v>
      </c>
      <c r="B453" s="7" t="s">
        <v>437</v>
      </c>
      <c r="C453" s="14" t="s">
        <v>116</v>
      </c>
      <c r="D453" s="14" t="s">
        <v>45</v>
      </c>
      <c r="E453" s="14" t="s">
        <v>58</v>
      </c>
      <c r="F453" s="14" t="s">
        <v>55</v>
      </c>
      <c r="G453" s="14" t="s">
        <v>66</v>
      </c>
      <c r="H453" s="14">
        <v>5</v>
      </c>
      <c r="I453" s="2">
        <v>1610</v>
      </c>
      <c r="J453" s="3">
        <v>15</v>
      </c>
      <c r="K453" s="2">
        <v>6842.5</v>
      </c>
      <c r="L453" s="2">
        <v>4310</v>
      </c>
      <c r="M453" s="2">
        <v>2532.5</v>
      </c>
      <c r="N453" s="14" t="s">
        <v>47</v>
      </c>
      <c r="O453" s="14">
        <v>5</v>
      </c>
      <c r="V453" s="2"/>
    </row>
    <row r="454" spans="1:22">
      <c r="A454">
        <v>10478</v>
      </c>
      <c r="B454" s="7" t="s">
        <v>185</v>
      </c>
      <c r="C454" s="14" t="s">
        <v>137</v>
      </c>
      <c r="D454" s="14" t="s">
        <v>45</v>
      </c>
      <c r="E454" s="14" t="s">
        <v>61</v>
      </c>
      <c r="F454" s="14" t="s">
        <v>52</v>
      </c>
      <c r="G454" s="14" t="s">
        <v>66</v>
      </c>
      <c r="H454" s="14">
        <v>15</v>
      </c>
      <c r="I454" s="2">
        <v>1520</v>
      </c>
      <c r="J454" s="3">
        <v>15</v>
      </c>
      <c r="K454" s="2">
        <v>19380</v>
      </c>
      <c r="L454" s="2">
        <v>11628</v>
      </c>
      <c r="M454" s="2">
        <v>7752</v>
      </c>
      <c r="N454" s="14" t="s">
        <v>41</v>
      </c>
      <c r="O454" s="14">
        <v>1</v>
      </c>
      <c r="V454" s="2"/>
    </row>
    <row r="455" spans="1:22">
      <c r="A455">
        <v>10479</v>
      </c>
      <c r="B455" s="7" t="s">
        <v>243</v>
      </c>
      <c r="C455" s="14" t="s">
        <v>120</v>
      </c>
      <c r="D455" s="14" t="s">
        <v>45</v>
      </c>
      <c r="E455" s="14" t="s">
        <v>56</v>
      </c>
      <c r="F455" s="14" t="s">
        <v>49</v>
      </c>
      <c r="G455" s="14" t="s">
        <v>64</v>
      </c>
      <c r="H455" s="14">
        <v>3</v>
      </c>
      <c r="I455" s="2">
        <v>540</v>
      </c>
      <c r="J455" s="3">
        <v>15</v>
      </c>
      <c r="K455" s="2">
        <v>1377</v>
      </c>
      <c r="L455" s="2">
        <v>1129</v>
      </c>
      <c r="M455" s="2">
        <v>248</v>
      </c>
      <c r="N455" s="14" t="s">
        <v>47</v>
      </c>
      <c r="O455" s="14">
        <v>4</v>
      </c>
      <c r="V455" s="2"/>
    </row>
    <row r="456" spans="1:22">
      <c r="A456">
        <v>10480</v>
      </c>
      <c r="B456" s="7" t="s">
        <v>438</v>
      </c>
      <c r="C456" s="14" t="s">
        <v>116</v>
      </c>
      <c r="D456" s="14" t="s">
        <v>36</v>
      </c>
      <c r="E456" s="14" t="s">
        <v>56</v>
      </c>
      <c r="F456" s="14" t="s">
        <v>49</v>
      </c>
      <c r="G456" s="14" t="s">
        <v>68</v>
      </c>
      <c r="H456" s="14">
        <v>6</v>
      </c>
      <c r="I456" s="2">
        <v>1020</v>
      </c>
      <c r="J456" s="3">
        <v>20</v>
      </c>
      <c r="K456" s="2">
        <v>4896</v>
      </c>
      <c r="L456" s="2">
        <v>2888</v>
      </c>
      <c r="M456" s="2">
        <v>2008</v>
      </c>
      <c r="N456" s="14" t="s">
        <v>47</v>
      </c>
      <c r="O456" s="14">
        <v>5</v>
      </c>
      <c r="V456" s="2"/>
    </row>
    <row r="457" spans="1:22">
      <c r="A457">
        <v>10481</v>
      </c>
      <c r="B457" s="7" t="s">
        <v>429</v>
      </c>
      <c r="C457" s="14" t="s">
        <v>135</v>
      </c>
      <c r="D457" s="14" t="s">
        <v>36</v>
      </c>
      <c r="E457" s="14" t="s">
        <v>58</v>
      </c>
      <c r="F457" s="14" t="s">
        <v>43</v>
      </c>
      <c r="G457" s="14" t="s">
        <v>64</v>
      </c>
      <c r="H457" s="14">
        <v>6</v>
      </c>
      <c r="I457" s="2">
        <v>360</v>
      </c>
      <c r="J457" s="3">
        <v>10</v>
      </c>
      <c r="K457" s="2">
        <v>1944</v>
      </c>
      <c r="L457" s="2">
        <v>1477</v>
      </c>
      <c r="M457" s="2">
        <v>467</v>
      </c>
      <c r="N457" s="14" t="s">
        <v>44</v>
      </c>
      <c r="O457" s="14">
        <v>3</v>
      </c>
      <c r="V457" s="2"/>
    </row>
    <row r="458" spans="1:22">
      <c r="A458">
        <v>10482</v>
      </c>
      <c r="B458" s="7" t="s">
        <v>439</v>
      </c>
      <c r="C458" s="14" t="s">
        <v>128</v>
      </c>
      <c r="D458" s="14" t="s">
        <v>45</v>
      </c>
      <c r="E458" s="14" t="s">
        <v>56</v>
      </c>
      <c r="F458" s="14" t="s">
        <v>131</v>
      </c>
      <c r="G458" s="14" t="s">
        <v>72</v>
      </c>
      <c r="H458" s="14">
        <v>9</v>
      </c>
      <c r="I458" s="2">
        <v>1890</v>
      </c>
      <c r="J458" s="3">
        <v>5</v>
      </c>
      <c r="K458" s="2">
        <v>16159.5</v>
      </c>
      <c r="L458" s="2">
        <v>13089</v>
      </c>
      <c r="M458" s="2">
        <v>3070.5</v>
      </c>
      <c r="N458" s="14" t="s">
        <v>44</v>
      </c>
      <c r="O458" s="14">
        <v>2</v>
      </c>
      <c r="V458" s="2"/>
    </row>
    <row r="459" spans="1:22">
      <c r="A459">
        <v>10483</v>
      </c>
      <c r="B459" s="7" t="s">
        <v>365</v>
      </c>
      <c r="C459" s="14" t="s">
        <v>128</v>
      </c>
      <c r="D459" s="14" t="s">
        <v>45</v>
      </c>
      <c r="E459" s="14" t="s">
        <v>61</v>
      </c>
      <c r="F459" s="14" t="s">
        <v>51</v>
      </c>
      <c r="G459" s="14" t="s">
        <v>63</v>
      </c>
      <c r="H459" s="14">
        <v>13</v>
      </c>
      <c r="I459" s="2">
        <v>770</v>
      </c>
      <c r="J459" s="3">
        <v>10</v>
      </c>
      <c r="K459" s="2">
        <v>9009</v>
      </c>
      <c r="L459" s="2">
        <v>6846</v>
      </c>
      <c r="M459" s="2">
        <v>2163</v>
      </c>
      <c r="N459" s="14" t="s">
        <v>44</v>
      </c>
      <c r="O459" s="14">
        <v>4</v>
      </c>
      <c r="V459" s="2"/>
    </row>
    <row r="460" spans="1:22">
      <c r="A460">
        <v>10484</v>
      </c>
      <c r="B460" s="7" t="s">
        <v>440</v>
      </c>
      <c r="C460" s="14" t="s">
        <v>137</v>
      </c>
      <c r="D460" s="14" t="s">
        <v>45</v>
      </c>
      <c r="E460" s="14" t="s">
        <v>56</v>
      </c>
      <c r="F460" s="14" t="s">
        <v>50</v>
      </c>
      <c r="G460" s="14" t="s">
        <v>72</v>
      </c>
      <c r="H460" s="14">
        <v>2</v>
      </c>
      <c r="I460" s="2">
        <v>350</v>
      </c>
      <c r="J460" s="3">
        <v>0</v>
      </c>
      <c r="K460" s="2">
        <v>700</v>
      </c>
      <c r="L460" s="2">
        <v>427</v>
      </c>
      <c r="M460" s="2">
        <v>273</v>
      </c>
      <c r="N460" s="14" t="s">
        <v>38</v>
      </c>
      <c r="O460" s="14">
        <v>4</v>
      </c>
      <c r="V460" s="2"/>
    </row>
    <row r="461" spans="1:22">
      <c r="A461">
        <v>10485</v>
      </c>
      <c r="B461" s="7" t="s">
        <v>441</v>
      </c>
      <c r="C461" s="14" t="s">
        <v>128</v>
      </c>
      <c r="D461" s="14" t="s">
        <v>45</v>
      </c>
      <c r="E461" s="14" t="s">
        <v>61</v>
      </c>
      <c r="F461" s="14" t="s">
        <v>51</v>
      </c>
      <c r="G461" s="14" t="s">
        <v>64</v>
      </c>
      <c r="H461" s="14">
        <v>5</v>
      </c>
      <c r="I461" s="2">
        <v>670</v>
      </c>
      <c r="J461" s="3">
        <v>5</v>
      </c>
      <c r="K461" s="2">
        <v>3182.5</v>
      </c>
      <c r="L461" s="2">
        <v>2386</v>
      </c>
      <c r="M461" s="2">
        <v>796.5</v>
      </c>
      <c r="N461" s="14" t="s">
        <v>47</v>
      </c>
      <c r="O461" s="14">
        <v>4</v>
      </c>
      <c r="V461" s="2"/>
    </row>
    <row r="462" spans="1:22">
      <c r="A462">
        <v>10486</v>
      </c>
      <c r="B462" s="7" t="s">
        <v>442</v>
      </c>
      <c r="C462" s="14" t="s">
        <v>137</v>
      </c>
      <c r="D462" s="14" t="s">
        <v>36</v>
      </c>
      <c r="E462" s="14" t="s">
        <v>56</v>
      </c>
      <c r="F462" s="14" t="s">
        <v>131</v>
      </c>
      <c r="G462" s="14" t="s">
        <v>66</v>
      </c>
      <c r="H462" s="14">
        <v>14</v>
      </c>
      <c r="I462" s="2">
        <v>270</v>
      </c>
      <c r="J462" s="3">
        <v>20</v>
      </c>
      <c r="K462" s="2">
        <v>3024</v>
      </c>
      <c r="L462" s="2">
        <v>1874</v>
      </c>
      <c r="M462" s="2">
        <v>1150</v>
      </c>
      <c r="N462" s="14" t="s">
        <v>44</v>
      </c>
      <c r="O462" s="14">
        <v>2</v>
      </c>
      <c r="V462" s="2"/>
    </row>
    <row r="463" spans="1:22">
      <c r="A463">
        <v>10487</v>
      </c>
      <c r="B463" s="7" t="s">
        <v>171</v>
      </c>
      <c r="C463" s="14" t="s">
        <v>147</v>
      </c>
      <c r="D463" s="14" t="s">
        <v>45</v>
      </c>
      <c r="E463" s="14" t="s">
        <v>61</v>
      </c>
      <c r="F463" s="14" t="s">
        <v>52</v>
      </c>
      <c r="G463" s="14" t="s">
        <v>68</v>
      </c>
      <c r="H463" s="14">
        <v>15</v>
      </c>
      <c r="I463" s="2">
        <v>260</v>
      </c>
      <c r="J463" s="3">
        <v>20</v>
      </c>
      <c r="K463" s="2">
        <v>3120</v>
      </c>
      <c r="L463" s="2">
        <v>2402</v>
      </c>
      <c r="M463" s="2">
        <v>718</v>
      </c>
      <c r="N463" s="14" t="s">
        <v>41</v>
      </c>
      <c r="O463" s="14">
        <v>2</v>
      </c>
      <c r="V463" s="2"/>
    </row>
    <row r="464" spans="1:22">
      <c r="A464">
        <v>10488</v>
      </c>
      <c r="B464" s="7" t="s">
        <v>269</v>
      </c>
      <c r="C464" s="14" t="s">
        <v>116</v>
      </c>
      <c r="D464" s="14" t="s">
        <v>45</v>
      </c>
      <c r="E464" s="14" t="s">
        <v>61</v>
      </c>
      <c r="F464" s="14" t="s">
        <v>143</v>
      </c>
      <c r="G464" s="14" t="s">
        <v>70</v>
      </c>
      <c r="H464" s="14">
        <v>13</v>
      </c>
      <c r="I464" s="2">
        <v>1240</v>
      </c>
      <c r="J464" s="3">
        <v>20</v>
      </c>
      <c r="K464" s="2">
        <v>12896</v>
      </c>
      <c r="L464" s="2">
        <v>10574</v>
      </c>
      <c r="M464" s="2">
        <v>2322</v>
      </c>
      <c r="N464" s="14" t="s">
        <v>41</v>
      </c>
      <c r="O464" s="14">
        <v>5</v>
      </c>
      <c r="V464" s="2"/>
    </row>
    <row r="465" spans="1:22">
      <c r="A465">
        <v>10489</v>
      </c>
      <c r="B465" s="7" t="s">
        <v>443</v>
      </c>
      <c r="C465" s="14" t="s">
        <v>130</v>
      </c>
      <c r="D465" s="14" t="s">
        <v>39</v>
      </c>
      <c r="E465" s="14" t="s">
        <v>61</v>
      </c>
      <c r="F465" s="14" t="s">
        <v>51</v>
      </c>
      <c r="G465" s="14" t="s">
        <v>74</v>
      </c>
      <c r="H465" s="14">
        <v>13</v>
      </c>
      <c r="I465" s="2">
        <v>1430</v>
      </c>
      <c r="J465" s="3">
        <v>20</v>
      </c>
      <c r="K465" s="2">
        <v>14872</v>
      </c>
      <c r="L465" s="2">
        <v>10856</v>
      </c>
      <c r="M465" s="2">
        <v>4016</v>
      </c>
      <c r="N465" s="14" t="s">
        <v>47</v>
      </c>
      <c r="O465" s="14">
        <v>2</v>
      </c>
      <c r="V465" s="2"/>
    </row>
    <row r="466" spans="1:22">
      <c r="A466">
        <v>10490</v>
      </c>
      <c r="B466" s="7" t="s">
        <v>400</v>
      </c>
      <c r="C466" s="14" t="s">
        <v>116</v>
      </c>
      <c r="D466" s="14" t="s">
        <v>45</v>
      </c>
      <c r="E466" s="14" t="s">
        <v>61</v>
      </c>
      <c r="F466" s="14" t="s">
        <v>143</v>
      </c>
      <c r="G466" s="14" t="s">
        <v>66</v>
      </c>
      <c r="H466" s="14">
        <v>5</v>
      </c>
      <c r="I466" s="2">
        <v>670</v>
      </c>
      <c r="J466" s="3">
        <v>0</v>
      </c>
      <c r="K466" s="2">
        <v>3350</v>
      </c>
      <c r="L466" s="2">
        <v>2780</v>
      </c>
      <c r="M466" s="2">
        <v>570</v>
      </c>
      <c r="N466" s="14" t="s">
        <v>44</v>
      </c>
      <c r="O466" s="14">
        <v>5</v>
      </c>
      <c r="V466" s="2"/>
    </row>
    <row r="467" spans="1:22">
      <c r="A467">
        <v>10492</v>
      </c>
      <c r="B467" s="7" t="s">
        <v>444</v>
      </c>
      <c r="C467" s="14" t="s">
        <v>130</v>
      </c>
      <c r="D467" s="14" t="s">
        <v>45</v>
      </c>
      <c r="E467" s="14" t="s">
        <v>61</v>
      </c>
      <c r="F467" s="14" t="s">
        <v>46</v>
      </c>
      <c r="G467" s="14" t="s">
        <v>72</v>
      </c>
      <c r="H467" s="14">
        <v>3</v>
      </c>
      <c r="I467" s="2">
        <v>860</v>
      </c>
      <c r="J467" s="3">
        <v>15</v>
      </c>
      <c r="K467" s="2">
        <v>2193</v>
      </c>
      <c r="L467" s="2">
        <v>1622</v>
      </c>
      <c r="M467" s="2">
        <v>571</v>
      </c>
      <c r="N467" s="14" t="s">
        <v>47</v>
      </c>
      <c r="O467" s="14">
        <v>4</v>
      </c>
      <c r="V467" s="2"/>
    </row>
    <row r="468" spans="1:22">
      <c r="A468">
        <v>10493</v>
      </c>
      <c r="B468" s="7" t="s">
        <v>344</v>
      </c>
      <c r="C468" s="14" t="s">
        <v>116</v>
      </c>
      <c r="D468" s="14" t="s">
        <v>36</v>
      </c>
      <c r="E468" s="14" t="s">
        <v>56</v>
      </c>
      <c r="F468" s="14" t="s">
        <v>57</v>
      </c>
      <c r="G468" s="14" t="s">
        <v>74</v>
      </c>
      <c r="H468" s="14">
        <v>10</v>
      </c>
      <c r="I468" s="2">
        <v>1990</v>
      </c>
      <c r="J468" s="3">
        <v>10</v>
      </c>
      <c r="K468" s="2">
        <v>17910</v>
      </c>
      <c r="L468" s="2">
        <v>10746</v>
      </c>
      <c r="M468" s="2">
        <v>7164</v>
      </c>
      <c r="N468" s="14" t="s">
        <v>47</v>
      </c>
      <c r="O468" s="14">
        <v>4</v>
      </c>
      <c r="V468" s="2"/>
    </row>
    <row r="469" spans="1:22">
      <c r="A469">
        <v>10494</v>
      </c>
      <c r="B469" s="7" t="s">
        <v>445</v>
      </c>
      <c r="C469" s="14" t="s">
        <v>120</v>
      </c>
      <c r="D469" s="14" t="s">
        <v>42</v>
      </c>
      <c r="E469" s="14" t="s">
        <v>61</v>
      </c>
      <c r="F469" s="14" t="s">
        <v>117</v>
      </c>
      <c r="G469" s="14" t="s">
        <v>68</v>
      </c>
      <c r="H469" s="14">
        <v>14</v>
      </c>
      <c r="I469" s="2">
        <v>1170</v>
      </c>
      <c r="J469" s="3">
        <v>10</v>
      </c>
      <c r="K469" s="2">
        <v>14742</v>
      </c>
      <c r="L469" s="2">
        <v>9877</v>
      </c>
      <c r="M469" s="2">
        <v>4865</v>
      </c>
      <c r="N469" s="14" t="s">
        <v>44</v>
      </c>
      <c r="O469" s="14">
        <v>1</v>
      </c>
      <c r="V469" s="2"/>
    </row>
    <row r="470" spans="1:22">
      <c r="A470">
        <v>10495</v>
      </c>
      <c r="B470" s="7" t="s">
        <v>320</v>
      </c>
      <c r="C470" s="14" t="s">
        <v>120</v>
      </c>
      <c r="D470" s="14" t="s">
        <v>36</v>
      </c>
      <c r="E470" s="14" t="s">
        <v>56</v>
      </c>
      <c r="F470" s="14" t="s">
        <v>57</v>
      </c>
      <c r="G470" s="14" t="s">
        <v>68</v>
      </c>
      <c r="H470" s="14">
        <v>11</v>
      </c>
      <c r="I470" s="2">
        <v>610</v>
      </c>
      <c r="J470" s="3">
        <v>5</v>
      </c>
      <c r="K470" s="2">
        <v>6374.5</v>
      </c>
      <c r="L470" s="2">
        <v>4844</v>
      </c>
      <c r="M470" s="2">
        <v>1530.5</v>
      </c>
      <c r="N470" s="14" t="s">
        <v>44</v>
      </c>
      <c r="O470" s="14">
        <v>5</v>
      </c>
      <c r="V470" s="2"/>
    </row>
    <row r="471" spans="1:22">
      <c r="A471">
        <v>10496</v>
      </c>
      <c r="B471" s="7" t="s">
        <v>439</v>
      </c>
      <c r="C471" s="14" t="s">
        <v>141</v>
      </c>
      <c r="D471" s="14" t="s">
        <v>36</v>
      </c>
      <c r="E471" s="14" t="s">
        <v>56</v>
      </c>
      <c r="F471" s="14" t="s">
        <v>49</v>
      </c>
      <c r="G471" s="14" t="s">
        <v>74</v>
      </c>
      <c r="H471" s="14">
        <v>2</v>
      </c>
      <c r="I471" s="2">
        <v>590</v>
      </c>
      <c r="J471" s="3">
        <v>20</v>
      </c>
      <c r="K471" s="2">
        <v>944</v>
      </c>
      <c r="L471" s="2">
        <v>538</v>
      </c>
      <c r="M471" s="2">
        <v>406</v>
      </c>
      <c r="N471" s="14" t="s">
        <v>47</v>
      </c>
      <c r="O471" s="14">
        <v>2</v>
      </c>
      <c r="V471" s="2"/>
    </row>
    <row r="472" spans="1:22">
      <c r="A472">
        <v>10497</v>
      </c>
      <c r="B472" s="7" t="s">
        <v>146</v>
      </c>
      <c r="C472" s="14" t="s">
        <v>116</v>
      </c>
      <c r="D472" s="14" t="s">
        <v>45</v>
      </c>
      <c r="E472" s="14" t="s">
        <v>58</v>
      </c>
      <c r="F472" s="14" t="s">
        <v>55</v>
      </c>
      <c r="G472" s="14" t="s">
        <v>74</v>
      </c>
      <c r="H472" s="14">
        <v>5</v>
      </c>
      <c r="I472" s="2">
        <v>880</v>
      </c>
      <c r="J472" s="3">
        <v>20</v>
      </c>
      <c r="K472" s="2">
        <v>3520</v>
      </c>
      <c r="L472" s="2">
        <v>2640</v>
      </c>
      <c r="M472" s="2">
        <v>880</v>
      </c>
      <c r="N472" s="14" t="s">
        <v>38</v>
      </c>
      <c r="O472" s="14">
        <v>2</v>
      </c>
      <c r="V472" s="2"/>
    </row>
    <row r="473" spans="1:22">
      <c r="A473">
        <v>10498</v>
      </c>
      <c r="B473" s="7" t="s">
        <v>267</v>
      </c>
      <c r="C473" s="14" t="s">
        <v>137</v>
      </c>
      <c r="D473" s="14" t="s">
        <v>45</v>
      </c>
      <c r="E473" s="14" t="s">
        <v>61</v>
      </c>
      <c r="F473" s="14" t="s">
        <v>117</v>
      </c>
      <c r="G473" s="14" t="s">
        <v>68</v>
      </c>
      <c r="H473" s="14">
        <v>2</v>
      </c>
      <c r="I473" s="2">
        <v>860</v>
      </c>
      <c r="J473" s="3">
        <v>5</v>
      </c>
      <c r="K473" s="2">
        <v>1634</v>
      </c>
      <c r="L473" s="2">
        <v>964</v>
      </c>
      <c r="M473" s="2">
        <v>670</v>
      </c>
      <c r="N473" s="14" t="s">
        <v>38</v>
      </c>
      <c r="O473" s="14">
        <v>2</v>
      </c>
      <c r="V473" s="2"/>
    </row>
    <row r="474" spans="1:22">
      <c r="A474">
        <v>10499</v>
      </c>
      <c r="B474" s="7" t="s">
        <v>324</v>
      </c>
      <c r="C474" s="14" t="s">
        <v>135</v>
      </c>
      <c r="D474" s="14" t="s">
        <v>36</v>
      </c>
      <c r="E474" s="14" t="s">
        <v>58</v>
      </c>
      <c r="F474" s="14" t="s">
        <v>40</v>
      </c>
      <c r="G474" s="14" t="s">
        <v>72</v>
      </c>
      <c r="H474" s="14">
        <v>2</v>
      </c>
      <c r="I474" s="2">
        <v>1230</v>
      </c>
      <c r="J474" s="3">
        <v>10</v>
      </c>
      <c r="K474" s="2">
        <v>2214</v>
      </c>
      <c r="L474" s="2">
        <v>1416</v>
      </c>
      <c r="M474" s="2">
        <v>798</v>
      </c>
      <c r="N474" s="14" t="s">
        <v>44</v>
      </c>
      <c r="O474" s="14">
        <v>2</v>
      </c>
      <c r="V474" s="2"/>
    </row>
    <row r="475" spans="1:22">
      <c r="A475">
        <v>10500</v>
      </c>
      <c r="B475" s="7" t="s">
        <v>446</v>
      </c>
      <c r="C475" s="14" t="s">
        <v>125</v>
      </c>
      <c r="D475" s="14" t="s">
        <v>36</v>
      </c>
      <c r="E475" s="14" t="s">
        <v>61</v>
      </c>
      <c r="F475" s="14" t="s">
        <v>52</v>
      </c>
      <c r="G475" s="14" t="s">
        <v>63</v>
      </c>
      <c r="H475" s="14">
        <v>1</v>
      </c>
      <c r="I475" s="2">
        <v>1780</v>
      </c>
      <c r="J475" s="3">
        <v>15</v>
      </c>
      <c r="K475" s="2">
        <v>1513</v>
      </c>
      <c r="L475" s="2">
        <v>1210</v>
      </c>
      <c r="M475" s="2">
        <v>303</v>
      </c>
      <c r="N475" s="14" t="s">
        <v>47</v>
      </c>
      <c r="O475" s="14">
        <v>3</v>
      </c>
      <c r="V475" s="2"/>
    </row>
    <row r="476" spans="1:22">
      <c r="A476">
        <v>10502</v>
      </c>
      <c r="B476" s="7" t="s">
        <v>209</v>
      </c>
      <c r="C476" s="14" t="s">
        <v>125</v>
      </c>
      <c r="D476" s="14" t="s">
        <v>39</v>
      </c>
      <c r="E476" s="14" t="s">
        <v>58</v>
      </c>
      <c r="F476" s="14" t="s">
        <v>40</v>
      </c>
      <c r="G476" s="14" t="s">
        <v>70</v>
      </c>
      <c r="H476" s="14">
        <v>3</v>
      </c>
      <c r="I476" s="2">
        <v>1160</v>
      </c>
      <c r="J476" s="3">
        <v>0</v>
      </c>
      <c r="K476" s="2">
        <v>3480</v>
      </c>
      <c r="L476" s="2">
        <v>2575</v>
      </c>
      <c r="M476" s="2">
        <v>905</v>
      </c>
      <c r="N476" s="14" t="s">
        <v>47</v>
      </c>
      <c r="O476" s="14">
        <v>3</v>
      </c>
      <c r="V476" s="2"/>
    </row>
    <row r="477" spans="1:22">
      <c r="A477">
        <v>10503</v>
      </c>
      <c r="B477" s="7" t="s">
        <v>447</v>
      </c>
      <c r="C477" s="14" t="s">
        <v>130</v>
      </c>
      <c r="D477" s="14" t="s">
        <v>45</v>
      </c>
      <c r="E477" s="14" t="s">
        <v>56</v>
      </c>
      <c r="F477" s="14" t="s">
        <v>131</v>
      </c>
      <c r="G477" s="14" t="s">
        <v>66</v>
      </c>
      <c r="H477" s="14">
        <v>3</v>
      </c>
      <c r="I477" s="2">
        <v>930</v>
      </c>
      <c r="J477" s="3">
        <v>15</v>
      </c>
      <c r="K477" s="2">
        <v>2371.5</v>
      </c>
      <c r="L477" s="2">
        <v>1328</v>
      </c>
      <c r="M477" s="2">
        <v>1043.5</v>
      </c>
      <c r="N477" s="14" t="s">
        <v>47</v>
      </c>
      <c r="O477" s="14">
        <v>3</v>
      </c>
      <c r="V477" s="2"/>
    </row>
    <row r="478" spans="1:22">
      <c r="A478">
        <v>10504</v>
      </c>
      <c r="B478" s="7" t="s">
        <v>448</v>
      </c>
      <c r="C478" s="14" t="s">
        <v>128</v>
      </c>
      <c r="D478" s="14" t="s">
        <v>42</v>
      </c>
      <c r="E478" s="14" t="s">
        <v>58</v>
      </c>
      <c r="F478" s="14" t="s">
        <v>55</v>
      </c>
      <c r="G478" s="14" t="s">
        <v>66</v>
      </c>
      <c r="H478" s="14">
        <v>7</v>
      </c>
      <c r="I478" s="2">
        <v>1990</v>
      </c>
      <c r="J478" s="3">
        <v>10</v>
      </c>
      <c r="K478" s="2">
        <v>12537</v>
      </c>
      <c r="L478" s="2">
        <v>7271</v>
      </c>
      <c r="M478" s="2">
        <v>5266</v>
      </c>
      <c r="N478" s="14" t="s">
        <v>38</v>
      </c>
      <c r="O478" s="14">
        <v>3</v>
      </c>
      <c r="V478" s="2"/>
    </row>
    <row r="479" spans="1:22">
      <c r="A479">
        <v>10505</v>
      </c>
      <c r="B479" s="7" t="s">
        <v>182</v>
      </c>
      <c r="C479" s="14" t="s">
        <v>125</v>
      </c>
      <c r="D479" s="14" t="s">
        <v>45</v>
      </c>
      <c r="E479" s="14" t="s">
        <v>56</v>
      </c>
      <c r="F479" s="14" t="s">
        <v>131</v>
      </c>
      <c r="G479" s="14" t="s">
        <v>63</v>
      </c>
      <c r="H479" s="14">
        <v>10</v>
      </c>
      <c r="I479" s="2">
        <v>1830</v>
      </c>
      <c r="J479" s="3">
        <v>10</v>
      </c>
      <c r="K479" s="2">
        <v>16470</v>
      </c>
      <c r="L479" s="2">
        <v>13340</v>
      </c>
      <c r="M479" s="2">
        <v>3130</v>
      </c>
      <c r="N479" s="14" t="s">
        <v>38</v>
      </c>
      <c r="O479" s="14">
        <v>3</v>
      </c>
      <c r="V479" s="2"/>
    </row>
    <row r="480" spans="1:22">
      <c r="A480">
        <v>10506</v>
      </c>
      <c r="B480" s="7" t="s">
        <v>159</v>
      </c>
      <c r="C480" s="14" t="s">
        <v>128</v>
      </c>
      <c r="D480" s="14" t="s">
        <v>45</v>
      </c>
      <c r="E480" s="14" t="s">
        <v>61</v>
      </c>
      <c r="F480" s="14" t="s">
        <v>117</v>
      </c>
      <c r="G480" s="14" t="s">
        <v>72</v>
      </c>
      <c r="H480" s="14">
        <v>1</v>
      </c>
      <c r="I480" s="2">
        <v>1650</v>
      </c>
      <c r="J480" s="3">
        <v>5</v>
      </c>
      <c r="K480" s="2">
        <v>1567.5</v>
      </c>
      <c r="L480" s="2">
        <v>956</v>
      </c>
      <c r="M480" s="2">
        <v>611.5</v>
      </c>
      <c r="N480" s="14" t="s">
        <v>38</v>
      </c>
      <c r="O480" s="14">
        <v>1</v>
      </c>
      <c r="V480" s="2"/>
    </row>
    <row r="481" spans="1:22">
      <c r="A481">
        <v>10507</v>
      </c>
      <c r="B481" s="7" t="s">
        <v>405</v>
      </c>
      <c r="C481" s="14" t="s">
        <v>135</v>
      </c>
      <c r="D481" s="14" t="s">
        <v>36</v>
      </c>
      <c r="E481" s="14" t="s">
        <v>56</v>
      </c>
      <c r="F481" s="14" t="s">
        <v>57</v>
      </c>
      <c r="G481" s="14" t="s">
        <v>74</v>
      </c>
      <c r="H481" s="14">
        <v>10</v>
      </c>
      <c r="I481" s="2">
        <v>1360</v>
      </c>
      <c r="J481" s="3">
        <v>0</v>
      </c>
      <c r="K481" s="2">
        <v>13600</v>
      </c>
      <c r="L481" s="2">
        <v>7480</v>
      </c>
      <c r="M481" s="2">
        <v>6120</v>
      </c>
      <c r="N481" s="14" t="s">
        <v>38</v>
      </c>
      <c r="O481" s="14">
        <v>5</v>
      </c>
      <c r="V481" s="2"/>
    </row>
    <row r="482" spans="1:22">
      <c r="A482">
        <v>10508</v>
      </c>
      <c r="B482" s="7" t="s">
        <v>238</v>
      </c>
      <c r="C482" s="14" t="s">
        <v>147</v>
      </c>
      <c r="D482" s="14" t="s">
        <v>45</v>
      </c>
      <c r="E482" s="14" t="s">
        <v>56</v>
      </c>
      <c r="F482" s="14" t="s">
        <v>49</v>
      </c>
      <c r="G482" s="14" t="s">
        <v>74</v>
      </c>
      <c r="H482" s="14">
        <v>2</v>
      </c>
      <c r="I482" s="2">
        <v>960</v>
      </c>
      <c r="J482" s="3">
        <v>5</v>
      </c>
      <c r="K482" s="2">
        <v>1824</v>
      </c>
      <c r="L482" s="2">
        <v>1203</v>
      </c>
      <c r="M482" s="2">
        <v>621</v>
      </c>
      <c r="N482" s="14" t="s">
        <v>44</v>
      </c>
      <c r="O482" s="14">
        <v>2</v>
      </c>
      <c r="V482" s="2"/>
    </row>
    <row r="483" spans="1:22">
      <c r="A483">
        <v>10509</v>
      </c>
      <c r="B483" s="7" t="s">
        <v>171</v>
      </c>
      <c r="C483" s="14" t="s">
        <v>111</v>
      </c>
      <c r="D483" s="14" t="s">
        <v>45</v>
      </c>
      <c r="E483" s="14" t="s">
        <v>58</v>
      </c>
      <c r="F483" s="14" t="s">
        <v>37</v>
      </c>
      <c r="G483" s="14" t="s">
        <v>74</v>
      </c>
      <c r="H483" s="14">
        <v>3</v>
      </c>
      <c r="I483" s="2">
        <v>1930</v>
      </c>
      <c r="J483" s="3">
        <v>5</v>
      </c>
      <c r="K483" s="2">
        <v>5500.5</v>
      </c>
      <c r="L483" s="2">
        <v>4070</v>
      </c>
      <c r="M483" s="2">
        <v>1430.5</v>
      </c>
      <c r="N483" s="14" t="s">
        <v>38</v>
      </c>
      <c r="O483" s="14">
        <v>4</v>
      </c>
      <c r="V483" s="2"/>
    </row>
    <row r="484" spans="1:22">
      <c r="A484">
        <v>10510</v>
      </c>
      <c r="B484" s="7" t="s">
        <v>449</v>
      </c>
      <c r="C484" s="14" t="s">
        <v>116</v>
      </c>
      <c r="D484" s="14" t="s">
        <v>42</v>
      </c>
      <c r="E484" s="14" t="s">
        <v>56</v>
      </c>
      <c r="F484" s="14" t="s">
        <v>150</v>
      </c>
      <c r="G484" s="14" t="s">
        <v>66</v>
      </c>
      <c r="H484" s="14">
        <v>12</v>
      </c>
      <c r="I484" s="2">
        <v>1730</v>
      </c>
      <c r="J484" s="3">
        <v>5</v>
      </c>
      <c r="K484" s="2">
        <v>19722</v>
      </c>
      <c r="L484" s="2">
        <v>15383</v>
      </c>
      <c r="M484" s="2">
        <v>4339</v>
      </c>
      <c r="N484" s="14" t="s">
        <v>47</v>
      </c>
      <c r="O484" s="14">
        <v>3</v>
      </c>
      <c r="V484" s="2"/>
    </row>
    <row r="485" spans="1:22">
      <c r="A485">
        <v>10512</v>
      </c>
      <c r="B485" s="7" t="s">
        <v>450</v>
      </c>
      <c r="C485" s="14" t="s">
        <v>147</v>
      </c>
      <c r="D485" s="14" t="s">
        <v>45</v>
      </c>
      <c r="E485" s="14" t="s">
        <v>56</v>
      </c>
      <c r="F485" s="14" t="s">
        <v>50</v>
      </c>
      <c r="G485" s="14" t="s">
        <v>66</v>
      </c>
      <c r="H485" s="14">
        <v>11</v>
      </c>
      <c r="I485" s="2">
        <v>1560</v>
      </c>
      <c r="J485" s="3">
        <v>15</v>
      </c>
      <c r="K485" s="2">
        <v>14586</v>
      </c>
      <c r="L485" s="2">
        <v>11377</v>
      </c>
      <c r="M485" s="2">
        <v>3209</v>
      </c>
      <c r="N485" s="14" t="s">
        <v>38</v>
      </c>
      <c r="O485" s="14">
        <v>3</v>
      </c>
      <c r="V485" s="2"/>
    </row>
    <row r="486" spans="1:22">
      <c r="A486">
        <v>10513</v>
      </c>
      <c r="B486" s="7" t="s">
        <v>338</v>
      </c>
      <c r="C486" s="14" t="s">
        <v>137</v>
      </c>
      <c r="D486" s="14" t="s">
        <v>42</v>
      </c>
      <c r="E486" s="14" t="s">
        <v>56</v>
      </c>
      <c r="F486" s="14" t="s">
        <v>57</v>
      </c>
      <c r="G486" s="14" t="s">
        <v>66</v>
      </c>
      <c r="H486" s="14">
        <v>10</v>
      </c>
      <c r="I486" s="2">
        <v>640</v>
      </c>
      <c r="J486" s="3">
        <v>15</v>
      </c>
      <c r="K486" s="2">
        <v>5440</v>
      </c>
      <c r="L486" s="2">
        <v>3808</v>
      </c>
      <c r="M486" s="2">
        <v>1632</v>
      </c>
      <c r="N486" s="14" t="s">
        <v>47</v>
      </c>
      <c r="O486" s="14">
        <v>1</v>
      </c>
      <c r="V486" s="2"/>
    </row>
    <row r="487" spans="1:22">
      <c r="A487">
        <v>10514</v>
      </c>
      <c r="B487" s="7" t="s">
        <v>451</v>
      </c>
      <c r="C487" s="14" t="s">
        <v>125</v>
      </c>
      <c r="D487" s="14" t="s">
        <v>45</v>
      </c>
      <c r="E487" s="14" t="s">
        <v>61</v>
      </c>
      <c r="F487" s="14" t="s">
        <v>143</v>
      </c>
      <c r="G487" s="14" t="s">
        <v>72</v>
      </c>
      <c r="H487" s="14">
        <v>14</v>
      </c>
      <c r="I487" s="2">
        <v>1730</v>
      </c>
      <c r="J487" s="3">
        <v>10</v>
      </c>
      <c r="K487" s="2">
        <v>21798</v>
      </c>
      <c r="L487" s="2">
        <v>15912</v>
      </c>
      <c r="M487" s="2">
        <v>5886</v>
      </c>
      <c r="N487" s="14" t="s">
        <v>44</v>
      </c>
      <c r="O487" s="14">
        <v>4</v>
      </c>
      <c r="V487" s="2"/>
    </row>
    <row r="488" spans="1:22">
      <c r="A488">
        <v>10515</v>
      </c>
      <c r="B488" s="7" t="s">
        <v>433</v>
      </c>
      <c r="C488" s="14" t="s">
        <v>125</v>
      </c>
      <c r="D488" s="14" t="s">
        <v>45</v>
      </c>
      <c r="E488" s="14" t="s">
        <v>56</v>
      </c>
      <c r="F488" s="14" t="s">
        <v>50</v>
      </c>
      <c r="G488" s="14" t="s">
        <v>68</v>
      </c>
      <c r="H488" s="14">
        <v>4</v>
      </c>
      <c r="I488" s="2">
        <v>1820</v>
      </c>
      <c r="J488" s="3">
        <v>5</v>
      </c>
      <c r="K488" s="2">
        <v>6916</v>
      </c>
      <c r="L488" s="2">
        <v>4080</v>
      </c>
      <c r="M488" s="2">
        <v>2836</v>
      </c>
      <c r="N488" s="14" t="s">
        <v>44</v>
      </c>
      <c r="O488" s="14">
        <v>1</v>
      </c>
      <c r="V488" s="2"/>
    </row>
    <row r="489" spans="1:22">
      <c r="A489">
        <v>10516</v>
      </c>
      <c r="B489" s="7" t="s">
        <v>134</v>
      </c>
      <c r="C489" s="14" t="s">
        <v>116</v>
      </c>
      <c r="D489" s="14" t="s">
        <v>45</v>
      </c>
      <c r="E489" s="14" t="s">
        <v>56</v>
      </c>
      <c r="F489" s="14" t="s">
        <v>150</v>
      </c>
      <c r="G489" s="14" t="s">
        <v>74</v>
      </c>
      <c r="H489" s="14">
        <v>9</v>
      </c>
      <c r="I489" s="2">
        <v>1490</v>
      </c>
      <c r="J489" s="3">
        <v>5</v>
      </c>
      <c r="K489" s="2">
        <v>12739.5</v>
      </c>
      <c r="L489" s="2">
        <v>8790</v>
      </c>
      <c r="M489" s="2">
        <v>3949.5</v>
      </c>
      <c r="N489" s="14" t="s">
        <v>47</v>
      </c>
      <c r="O489" s="14">
        <v>4</v>
      </c>
      <c r="V489" s="2"/>
    </row>
    <row r="490" spans="1:22">
      <c r="A490">
        <v>10517</v>
      </c>
      <c r="B490" s="7" t="s">
        <v>251</v>
      </c>
      <c r="C490" s="14" t="s">
        <v>111</v>
      </c>
      <c r="D490" s="14" t="s">
        <v>39</v>
      </c>
      <c r="E490" s="14" t="s">
        <v>61</v>
      </c>
      <c r="F490" s="14" t="s">
        <v>51</v>
      </c>
      <c r="G490" s="14" t="s">
        <v>63</v>
      </c>
      <c r="H490" s="14">
        <v>15</v>
      </c>
      <c r="I490" s="2">
        <v>1730</v>
      </c>
      <c r="J490" s="3">
        <v>15</v>
      </c>
      <c r="K490" s="2">
        <v>22057.5</v>
      </c>
      <c r="L490" s="2">
        <v>13455</v>
      </c>
      <c r="M490" s="2">
        <v>8602.5</v>
      </c>
      <c r="N490" s="14" t="s">
        <v>47</v>
      </c>
      <c r="O490" s="14">
        <v>4</v>
      </c>
      <c r="V490" s="2"/>
    </row>
    <row r="491" spans="1:22">
      <c r="A491">
        <v>10518</v>
      </c>
      <c r="B491" s="7" t="s">
        <v>403</v>
      </c>
      <c r="C491" s="14" t="s">
        <v>137</v>
      </c>
      <c r="D491" s="14" t="s">
        <v>39</v>
      </c>
      <c r="E491" s="14" t="s">
        <v>61</v>
      </c>
      <c r="F491" s="14" t="s">
        <v>46</v>
      </c>
      <c r="G491" s="14" t="s">
        <v>64</v>
      </c>
      <c r="H491" s="14">
        <v>14</v>
      </c>
      <c r="I491" s="2">
        <v>1140</v>
      </c>
      <c r="J491" s="3">
        <v>15</v>
      </c>
      <c r="K491" s="2">
        <v>13566</v>
      </c>
      <c r="L491" s="2">
        <v>7732</v>
      </c>
      <c r="M491" s="2">
        <v>5834</v>
      </c>
      <c r="N491" s="14" t="s">
        <v>41</v>
      </c>
      <c r="O491" s="14">
        <v>2</v>
      </c>
      <c r="V491" s="2"/>
    </row>
    <row r="492" spans="1:22">
      <c r="A492">
        <v>10519</v>
      </c>
      <c r="B492" s="7" t="s">
        <v>440</v>
      </c>
      <c r="C492" s="14" t="s">
        <v>116</v>
      </c>
      <c r="D492" s="14" t="s">
        <v>39</v>
      </c>
      <c r="E492" s="14" t="s">
        <v>58</v>
      </c>
      <c r="F492" s="14" t="s">
        <v>40</v>
      </c>
      <c r="G492" s="14" t="s">
        <v>64</v>
      </c>
      <c r="H492" s="14">
        <v>13</v>
      </c>
      <c r="I492" s="2">
        <v>1110</v>
      </c>
      <c r="J492" s="3">
        <v>10</v>
      </c>
      <c r="K492" s="2">
        <v>12987</v>
      </c>
      <c r="L492" s="2">
        <v>7402</v>
      </c>
      <c r="M492" s="2">
        <v>5585</v>
      </c>
      <c r="N492" s="14" t="s">
        <v>41</v>
      </c>
      <c r="O492" s="14">
        <v>2</v>
      </c>
      <c r="V492" s="2"/>
    </row>
    <row r="493" spans="1:22">
      <c r="A493">
        <v>10520</v>
      </c>
      <c r="B493" s="7" t="s">
        <v>224</v>
      </c>
      <c r="C493" s="14" t="s">
        <v>116</v>
      </c>
      <c r="D493" s="14" t="s">
        <v>45</v>
      </c>
      <c r="E493" s="14" t="s">
        <v>56</v>
      </c>
      <c r="F493" s="14" t="s">
        <v>57</v>
      </c>
      <c r="G493" s="14" t="s">
        <v>64</v>
      </c>
      <c r="H493" s="14">
        <v>13</v>
      </c>
      <c r="I493" s="2">
        <v>1710</v>
      </c>
      <c r="J493" s="3">
        <v>15</v>
      </c>
      <c r="K493" s="2">
        <v>18895.5</v>
      </c>
      <c r="L493" s="2">
        <v>15116</v>
      </c>
      <c r="M493" s="2">
        <v>3779.5</v>
      </c>
      <c r="N493" s="14" t="s">
        <v>44</v>
      </c>
      <c r="O493" s="14">
        <v>3</v>
      </c>
      <c r="V493" s="2"/>
    </row>
    <row r="494" spans="1:22">
      <c r="A494">
        <v>10521</v>
      </c>
      <c r="B494" s="7" t="s">
        <v>452</v>
      </c>
      <c r="C494" s="14" t="s">
        <v>128</v>
      </c>
      <c r="D494" s="14" t="s">
        <v>42</v>
      </c>
      <c r="E494" s="14" t="s">
        <v>61</v>
      </c>
      <c r="F494" s="14" t="s">
        <v>46</v>
      </c>
      <c r="G494" s="14" t="s">
        <v>63</v>
      </c>
      <c r="H494" s="14">
        <v>15</v>
      </c>
      <c r="I494" s="2">
        <v>1180</v>
      </c>
      <c r="J494" s="3">
        <v>5</v>
      </c>
      <c r="K494" s="2">
        <v>16815</v>
      </c>
      <c r="L494" s="2">
        <v>12443</v>
      </c>
      <c r="M494" s="2">
        <v>4372</v>
      </c>
      <c r="N494" s="14" t="s">
        <v>38</v>
      </c>
      <c r="O494" s="14">
        <v>4</v>
      </c>
      <c r="V494" s="2"/>
    </row>
    <row r="495" spans="1:22">
      <c r="A495">
        <v>10522</v>
      </c>
      <c r="B495" s="7" t="s">
        <v>453</v>
      </c>
      <c r="C495" s="14" t="s">
        <v>120</v>
      </c>
      <c r="D495" s="14" t="s">
        <v>42</v>
      </c>
      <c r="E495" s="14" t="s">
        <v>61</v>
      </c>
      <c r="F495" s="14" t="s">
        <v>46</v>
      </c>
      <c r="G495" s="14" t="s">
        <v>74</v>
      </c>
      <c r="H495" s="14">
        <v>15</v>
      </c>
      <c r="I495" s="2">
        <v>590</v>
      </c>
      <c r="J495" s="3">
        <v>10</v>
      </c>
      <c r="K495" s="2">
        <v>7965</v>
      </c>
      <c r="L495" s="2">
        <v>4699</v>
      </c>
      <c r="M495" s="2">
        <v>3266</v>
      </c>
      <c r="N495" s="14" t="s">
        <v>41</v>
      </c>
      <c r="O495" s="14">
        <v>3</v>
      </c>
      <c r="V495" s="2"/>
    </row>
    <row r="496" spans="1:22">
      <c r="A496">
        <v>10524</v>
      </c>
      <c r="B496" s="7" t="s">
        <v>371</v>
      </c>
      <c r="C496" s="14" t="s">
        <v>141</v>
      </c>
      <c r="D496" s="14" t="s">
        <v>39</v>
      </c>
      <c r="E496" s="14" t="s">
        <v>61</v>
      </c>
      <c r="F496" s="14" t="s">
        <v>143</v>
      </c>
      <c r="G496" s="14" t="s">
        <v>63</v>
      </c>
      <c r="H496" s="14">
        <v>4</v>
      </c>
      <c r="I496" s="2">
        <v>750</v>
      </c>
      <c r="J496" s="3">
        <v>0</v>
      </c>
      <c r="K496" s="2">
        <v>3000</v>
      </c>
      <c r="L496" s="2">
        <v>2130</v>
      </c>
      <c r="M496" s="2">
        <v>870</v>
      </c>
      <c r="N496" s="14" t="s">
        <v>44</v>
      </c>
      <c r="O496" s="14">
        <v>4</v>
      </c>
      <c r="V496" s="2"/>
    </row>
    <row r="497" spans="1:22">
      <c r="A497">
        <v>10525</v>
      </c>
      <c r="B497" s="7" t="s">
        <v>454</v>
      </c>
      <c r="C497" s="14" t="s">
        <v>111</v>
      </c>
      <c r="D497" s="14" t="s">
        <v>45</v>
      </c>
      <c r="E497" s="14" t="s">
        <v>61</v>
      </c>
      <c r="F497" s="14" t="s">
        <v>46</v>
      </c>
      <c r="G497" s="14" t="s">
        <v>72</v>
      </c>
      <c r="H497" s="14">
        <v>1</v>
      </c>
      <c r="I497" s="2">
        <v>1730</v>
      </c>
      <c r="J497" s="3">
        <v>5</v>
      </c>
      <c r="K497" s="2">
        <v>1643.5</v>
      </c>
      <c r="L497" s="2">
        <v>1347</v>
      </c>
      <c r="M497" s="2">
        <v>296.5</v>
      </c>
      <c r="N497" s="14" t="s">
        <v>44</v>
      </c>
      <c r="O497" s="14">
        <v>1</v>
      </c>
      <c r="V497" s="2"/>
    </row>
    <row r="498" spans="1:22">
      <c r="A498">
        <v>10526</v>
      </c>
      <c r="B498" s="7" t="s">
        <v>213</v>
      </c>
      <c r="C498" s="14" t="s">
        <v>147</v>
      </c>
      <c r="D498" s="14" t="s">
        <v>36</v>
      </c>
      <c r="E498" s="14" t="s">
        <v>56</v>
      </c>
      <c r="F498" s="14" t="s">
        <v>49</v>
      </c>
      <c r="G498" s="14" t="s">
        <v>70</v>
      </c>
      <c r="H498" s="14">
        <v>14</v>
      </c>
      <c r="I498" s="2">
        <v>1440</v>
      </c>
      <c r="J498" s="3">
        <v>15</v>
      </c>
      <c r="K498" s="2">
        <v>17136</v>
      </c>
      <c r="L498" s="2">
        <v>10452</v>
      </c>
      <c r="M498" s="2">
        <v>6684</v>
      </c>
      <c r="N498" s="14" t="s">
        <v>44</v>
      </c>
      <c r="O498" s="14">
        <v>3</v>
      </c>
      <c r="V498" s="2"/>
    </row>
    <row r="499" spans="1:22">
      <c r="A499">
        <v>10527</v>
      </c>
      <c r="B499" s="7" t="s">
        <v>396</v>
      </c>
      <c r="C499" s="14" t="s">
        <v>111</v>
      </c>
      <c r="D499" s="14" t="s">
        <v>36</v>
      </c>
      <c r="E499" s="14" t="s">
        <v>56</v>
      </c>
      <c r="F499" s="14" t="s">
        <v>50</v>
      </c>
      <c r="G499" s="14" t="s">
        <v>66</v>
      </c>
      <c r="H499" s="14">
        <v>7</v>
      </c>
      <c r="I499" s="2">
        <v>1370</v>
      </c>
      <c r="J499" s="3">
        <v>5</v>
      </c>
      <c r="K499" s="2">
        <v>9110.5</v>
      </c>
      <c r="L499" s="2">
        <v>6559</v>
      </c>
      <c r="M499" s="2">
        <v>2551.5</v>
      </c>
      <c r="N499" s="14" t="s">
        <v>41</v>
      </c>
      <c r="O499" s="14">
        <v>2</v>
      </c>
      <c r="V499" s="2"/>
    </row>
    <row r="500" spans="1:22">
      <c r="A500">
        <v>10528</v>
      </c>
      <c r="B500" s="7" t="s">
        <v>454</v>
      </c>
      <c r="C500" s="14" t="s">
        <v>111</v>
      </c>
      <c r="D500" s="14" t="s">
        <v>42</v>
      </c>
      <c r="E500" s="14" t="s">
        <v>58</v>
      </c>
      <c r="F500" s="14" t="s">
        <v>43</v>
      </c>
      <c r="G500" s="14" t="s">
        <v>72</v>
      </c>
      <c r="H500" s="14">
        <v>1</v>
      </c>
      <c r="I500" s="2">
        <v>230</v>
      </c>
      <c r="J500" s="3">
        <v>15</v>
      </c>
      <c r="K500" s="2">
        <v>195.5</v>
      </c>
      <c r="L500" s="2">
        <v>156</v>
      </c>
      <c r="M500" s="2">
        <v>39.5</v>
      </c>
      <c r="N500" s="14" t="s">
        <v>44</v>
      </c>
      <c r="O500" s="14">
        <v>4</v>
      </c>
      <c r="V500" s="2"/>
    </row>
    <row r="501" spans="1:22">
      <c r="A501">
        <v>10529</v>
      </c>
      <c r="B501" s="7" t="s">
        <v>264</v>
      </c>
      <c r="C501" s="14" t="s">
        <v>141</v>
      </c>
      <c r="D501" s="14" t="s">
        <v>36</v>
      </c>
      <c r="E501" s="14" t="s">
        <v>56</v>
      </c>
      <c r="F501" s="14" t="s">
        <v>50</v>
      </c>
      <c r="G501" s="14" t="s">
        <v>70</v>
      </c>
      <c r="H501" s="14">
        <v>5</v>
      </c>
      <c r="I501" s="2">
        <v>1860</v>
      </c>
      <c r="J501" s="3">
        <v>20</v>
      </c>
      <c r="K501" s="2">
        <v>7440</v>
      </c>
      <c r="L501" s="2">
        <v>4538</v>
      </c>
      <c r="M501" s="2">
        <v>2902</v>
      </c>
      <c r="N501" s="14" t="s">
        <v>44</v>
      </c>
      <c r="O501" s="14">
        <v>5</v>
      </c>
      <c r="V501" s="2"/>
    </row>
    <row r="502" spans="1:22">
      <c r="A502">
        <v>10530</v>
      </c>
      <c r="B502" s="7" t="s">
        <v>455</v>
      </c>
      <c r="C502" s="14" t="s">
        <v>120</v>
      </c>
      <c r="D502" s="14" t="s">
        <v>45</v>
      </c>
      <c r="E502" s="14" t="s">
        <v>56</v>
      </c>
      <c r="F502" s="14" t="s">
        <v>49</v>
      </c>
      <c r="G502" s="14" t="s">
        <v>64</v>
      </c>
      <c r="H502" s="14">
        <v>15</v>
      </c>
      <c r="I502" s="2">
        <v>1580</v>
      </c>
      <c r="J502" s="3">
        <v>10</v>
      </c>
      <c r="K502" s="2">
        <v>21330</v>
      </c>
      <c r="L502" s="2">
        <v>13864</v>
      </c>
      <c r="M502" s="2">
        <v>7466</v>
      </c>
      <c r="N502" s="14" t="s">
        <v>47</v>
      </c>
      <c r="O502" s="14">
        <v>2</v>
      </c>
      <c r="V502" s="2"/>
    </row>
    <row r="503" spans="1:22">
      <c r="A503">
        <v>10531</v>
      </c>
      <c r="B503" s="7" t="s">
        <v>456</v>
      </c>
      <c r="C503" s="14" t="s">
        <v>120</v>
      </c>
      <c r="D503" s="14" t="s">
        <v>42</v>
      </c>
      <c r="E503" s="14" t="s">
        <v>58</v>
      </c>
      <c r="F503" s="14" t="s">
        <v>55</v>
      </c>
      <c r="G503" s="14" t="s">
        <v>72</v>
      </c>
      <c r="H503" s="14">
        <v>2</v>
      </c>
      <c r="I503" s="2">
        <v>1820</v>
      </c>
      <c r="J503" s="3">
        <v>15</v>
      </c>
      <c r="K503" s="2">
        <v>3094</v>
      </c>
      <c r="L503" s="2">
        <v>2537</v>
      </c>
      <c r="M503" s="2">
        <v>557</v>
      </c>
      <c r="N503" s="14" t="s">
        <v>41</v>
      </c>
      <c r="O503" s="14">
        <v>5</v>
      </c>
      <c r="V503" s="2"/>
    </row>
    <row r="504" spans="1:22">
      <c r="A504">
        <v>10532</v>
      </c>
      <c r="B504" s="7" t="s">
        <v>457</v>
      </c>
      <c r="C504" s="14" t="s">
        <v>125</v>
      </c>
      <c r="D504" s="14" t="s">
        <v>36</v>
      </c>
      <c r="E504" s="14" t="s">
        <v>61</v>
      </c>
      <c r="F504" s="14" t="s">
        <v>51</v>
      </c>
      <c r="G504" s="14" t="s">
        <v>70</v>
      </c>
      <c r="H504" s="14">
        <v>14</v>
      </c>
      <c r="I504" s="2">
        <v>740</v>
      </c>
      <c r="J504" s="3">
        <v>10</v>
      </c>
      <c r="K504" s="2">
        <v>9324</v>
      </c>
      <c r="L504" s="2">
        <v>6899</v>
      </c>
      <c r="M504" s="2">
        <v>2425</v>
      </c>
      <c r="N504" s="14" t="s">
        <v>41</v>
      </c>
      <c r="O504" s="14">
        <v>4</v>
      </c>
      <c r="V504" s="2"/>
    </row>
    <row r="505" spans="1:22">
      <c r="A505">
        <v>10533</v>
      </c>
      <c r="B505" s="7" t="s">
        <v>329</v>
      </c>
      <c r="C505" s="14" t="s">
        <v>116</v>
      </c>
      <c r="D505" s="14" t="s">
        <v>36</v>
      </c>
      <c r="E505" s="14" t="s">
        <v>58</v>
      </c>
      <c r="F505" s="14" t="s">
        <v>43</v>
      </c>
      <c r="G505" s="14" t="s">
        <v>63</v>
      </c>
      <c r="H505" s="14">
        <v>1</v>
      </c>
      <c r="I505" s="2">
        <v>840</v>
      </c>
      <c r="J505" s="3">
        <v>10</v>
      </c>
      <c r="K505" s="2">
        <v>756</v>
      </c>
      <c r="L505" s="2">
        <v>521</v>
      </c>
      <c r="M505" s="2">
        <v>235</v>
      </c>
      <c r="N505" s="14" t="s">
        <v>41</v>
      </c>
      <c r="O505" s="14">
        <v>5</v>
      </c>
      <c r="V505" s="2"/>
    </row>
    <row r="506" spans="1:22">
      <c r="A506">
        <v>10534</v>
      </c>
      <c r="B506" s="7" t="s">
        <v>352</v>
      </c>
      <c r="C506" s="14" t="s">
        <v>111</v>
      </c>
      <c r="D506" s="14" t="s">
        <v>45</v>
      </c>
      <c r="E506" s="14" t="s">
        <v>56</v>
      </c>
      <c r="F506" s="14" t="s">
        <v>57</v>
      </c>
      <c r="G506" s="14" t="s">
        <v>63</v>
      </c>
      <c r="H506" s="14">
        <v>8</v>
      </c>
      <c r="I506" s="2">
        <v>1660</v>
      </c>
      <c r="J506" s="3">
        <v>15</v>
      </c>
      <c r="K506" s="2">
        <v>11288</v>
      </c>
      <c r="L506" s="2">
        <v>8691</v>
      </c>
      <c r="M506" s="2">
        <v>2597</v>
      </c>
      <c r="N506" s="14" t="s">
        <v>38</v>
      </c>
      <c r="O506" s="14">
        <v>4</v>
      </c>
      <c r="V506" s="2"/>
    </row>
    <row r="507" spans="1:22">
      <c r="A507">
        <v>10535</v>
      </c>
      <c r="B507" s="7" t="s">
        <v>426</v>
      </c>
      <c r="C507" s="14" t="s">
        <v>125</v>
      </c>
      <c r="D507" s="14" t="s">
        <v>45</v>
      </c>
      <c r="E507" s="14" t="s">
        <v>58</v>
      </c>
      <c r="F507" s="14" t="s">
        <v>55</v>
      </c>
      <c r="G507" s="14" t="s">
        <v>72</v>
      </c>
      <c r="H507" s="14">
        <v>13</v>
      </c>
      <c r="I507" s="2">
        <v>990</v>
      </c>
      <c r="J507" s="3">
        <v>0</v>
      </c>
      <c r="K507" s="2">
        <v>12870</v>
      </c>
      <c r="L507" s="2">
        <v>9909</v>
      </c>
      <c r="M507" s="2">
        <v>2961</v>
      </c>
      <c r="N507" s="14" t="s">
        <v>47</v>
      </c>
      <c r="O507" s="14">
        <v>4</v>
      </c>
      <c r="V507" s="2"/>
    </row>
    <row r="508" spans="1:22">
      <c r="A508">
        <v>10536</v>
      </c>
      <c r="B508" s="7" t="s">
        <v>449</v>
      </c>
      <c r="C508" s="14" t="s">
        <v>116</v>
      </c>
      <c r="D508" s="14" t="s">
        <v>39</v>
      </c>
      <c r="E508" s="14" t="s">
        <v>56</v>
      </c>
      <c r="F508" s="14" t="s">
        <v>150</v>
      </c>
      <c r="G508" s="14" t="s">
        <v>63</v>
      </c>
      <c r="H508" s="14">
        <v>1</v>
      </c>
      <c r="I508" s="2">
        <v>790</v>
      </c>
      <c r="J508" s="3">
        <v>0</v>
      </c>
      <c r="K508" s="2">
        <v>790</v>
      </c>
      <c r="L508" s="2">
        <v>505</v>
      </c>
      <c r="M508" s="2">
        <v>285</v>
      </c>
      <c r="N508" s="14" t="s">
        <v>47</v>
      </c>
      <c r="O508" s="14">
        <v>1</v>
      </c>
      <c r="V508" s="2"/>
    </row>
    <row r="509" spans="1:22">
      <c r="A509">
        <v>10537</v>
      </c>
      <c r="B509" s="7" t="s">
        <v>458</v>
      </c>
      <c r="C509" s="14" t="s">
        <v>141</v>
      </c>
      <c r="D509" s="14" t="s">
        <v>45</v>
      </c>
      <c r="E509" s="14" t="s">
        <v>56</v>
      </c>
      <c r="F509" s="14" t="s">
        <v>57</v>
      </c>
      <c r="G509" s="14" t="s">
        <v>74</v>
      </c>
      <c r="H509" s="14">
        <v>11</v>
      </c>
      <c r="I509" s="2">
        <v>1430</v>
      </c>
      <c r="J509" s="3">
        <v>0</v>
      </c>
      <c r="K509" s="2">
        <v>15730</v>
      </c>
      <c r="L509" s="2">
        <v>8808</v>
      </c>
      <c r="M509" s="2">
        <v>6922</v>
      </c>
      <c r="N509" s="14" t="s">
        <v>47</v>
      </c>
      <c r="O509" s="14">
        <v>2</v>
      </c>
      <c r="V509" s="2"/>
    </row>
    <row r="510" spans="1:22">
      <c r="A510">
        <v>10538</v>
      </c>
      <c r="B510" s="7" t="s">
        <v>394</v>
      </c>
      <c r="C510" s="14" t="s">
        <v>137</v>
      </c>
      <c r="D510" s="14" t="s">
        <v>39</v>
      </c>
      <c r="E510" s="14" t="s">
        <v>58</v>
      </c>
      <c r="F510" s="14" t="s">
        <v>43</v>
      </c>
      <c r="G510" s="14" t="s">
        <v>66</v>
      </c>
      <c r="H510" s="14">
        <v>5</v>
      </c>
      <c r="I510" s="2">
        <v>750</v>
      </c>
      <c r="J510" s="3">
        <v>20</v>
      </c>
      <c r="K510" s="2">
        <v>3000</v>
      </c>
      <c r="L510" s="2">
        <v>1740</v>
      </c>
      <c r="M510" s="2">
        <v>1260</v>
      </c>
      <c r="N510" s="14" t="s">
        <v>44</v>
      </c>
      <c r="O510" s="14">
        <v>3</v>
      </c>
      <c r="V510" s="2"/>
    </row>
    <row r="511" spans="1:22">
      <c r="A511">
        <v>10539</v>
      </c>
      <c r="B511" s="7" t="s">
        <v>459</v>
      </c>
      <c r="C511" s="14" t="s">
        <v>130</v>
      </c>
      <c r="D511" s="14" t="s">
        <v>36</v>
      </c>
      <c r="E511" s="14" t="s">
        <v>56</v>
      </c>
      <c r="F511" s="14" t="s">
        <v>131</v>
      </c>
      <c r="G511" s="14" t="s">
        <v>70</v>
      </c>
      <c r="H511" s="14">
        <v>7</v>
      </c>
      <c r="I511" s="2">
        <v>1810</v>
      </c>
      <c r="J511" s="3">
        <v>15</v>
      </c>
      <c r="K511" s="2">
        <v>10769.5</v>
      </c>
      <c r="L511" s="2">
        <v>6784</v>
      </c>
      <c r="M511" s="2">
        <v>3985.5</v>
      </c>
      <c r="N511" s="14" t="s">
        <v>41</v>
      </c>
      <c r="O511" s="14">
        <v>1</v>
      </c>
      <c r="V511" s="2"/>
    </row>
    <row r="512" spans="1:22">
      <c r="A512">
        <v>10540</v>
      </c>
      <c r="B512" s="7" t="s">
        <v>177</v>
      </c>
      <c r="C512" s="14" t="s">
        <v>130</v>
      </c>
      <c r="D512" s="14" t="s">
        <v>36</v>
      </c>
      <c r="E512" s="14" t="s">
        <v>58</v>
      </c>
      <c r="F512" s="14" t="s">
        <v>40</v>
      </c>
      <c r="G512" s="14" t="s">
        <v>66</v>
      </c>
      <c r="H512" s="14">
        <v>9</v>
      </c>
      <c r="I512" s="2">
        <v>1990</v>
      </c>
      <c r="J512" s="3">
        <v>5</v>
      </c>
      <c r="K512" s="2">
        <v>17014.5</v>
      </c>
      <c r="L512" s="2">
        <v>12250</v>
      </c>
      <c r="M512" s="2">
        <v>4764.5</v>
      </c>
      <c r="N512" s="14" t="s">
        <v>47</v>
      </c>
      <c r="O512" s="14">
        <v>1</v>
      </c>
      <c r="V512" s="2"/>
    </row>
    <row r="513" spans="1:22">
      <c r="A513">
        <v>10541</v>
      </c>
      <c r="B513" s="7" t="s">
        <v>458</v>
      </c>
      <c r="C513" s="14" t="s">
        <v>120</v>
      </c>
      <c r="D513" s="14" t="s">
        <v>36</v>
      </c>
      <c r="E513" s="14" t="s">
        <v>61</v>
      </c>
      <c r="F513" s="14" t="s">
        <v>51</v>
      </c>
      <c r="G513" s="14" t="s">
        <v>74</v>
      </c>
      <c r="H513" s="14">
        <v>9</v>
      </c>
      <c r="I513" s="2">
        <v>1060</v>
      </c>
      <c r="J513" s="3">
        <v>5</v>
      </c>
      <c r="K513" s="2">
        <v>9063</v>
      </c>
      <c r="L513" s="2">
        <v>6253</v>
      </c>
      <c r="M513" s="2">
        <v>2810</v>
      </c>
      <c r="N513" s="14" t="s">
        <v>38</v>
      </c>
      <c r="O513" s="14">
        <v>2</v>
      </c>
      <c r="V513" s="2"/>
    </row>
    <row r="514" spans="1:22">
      <c r="A514">
        <v>10542</v>
      </c>
      <c r="B514" s="7" t="s">
        <v>399</v>
      </c>
      <c r="C514" s="14" t="s">
        <v>128</v>
      </c>
      <c r="D514" s="14" t="s">
        <v>45</v>
      </c>
      <c r="E514" s="14" t="s">
        <v>56</v>
      </c>
      <c r="F514" s="14" t="s">
        <v>49</v>
      </c>
      <c r="G514" s="14" t="s">
        <v>64</v>
      </c>
      <c r="H514" s="14">
        <v>15</v>
      </c>
      <c r="I514" s="2">
        <v>410</v>
      </c>
      <c r="J514" s="3">
        <v>15</v>
      </c>
      <c r="K514" s="2">
        <v>5227.5</v>
      </c>
      <c r="L514" s="2">
        <v>3868</v>
      </c>
      <c r="M514" s="2">
        <v>1359.5</v>
      </c>
      <c r="N514" s="14" t="s">
        <v>38</v>
      </c>
      <c r="O514" s="14">
        <v>4</v>
      </c>
      <c r="V514" s="2"/>
    </row>
    <row r="515" spans="1:22">
      <c r="A515">
        <v>10544</v>
      </c>
      <c r="B515" s="7" t="s">
        <v>233</v>
      </c>
      <c r="C515" s="14" t="s">
        <v>116</v>
      </c>
      <c r="D515" s="14" t="s">
        <v>45</v>
      </c>
      <c r="E515" s="14" t="s">
        <v>58</v>
      </c>
      <c r="F515" s="14" t="s">
        <v>37</v>
      </c>
      <c r="G515" s="14" t="s">
        <v>63</v>
      </c>
      <c r="H515" s="14">
        <v>15</v>
      </c>
      <c r="I515" s="2">
        <v>920</v>
      </c>
      <c r="J515" s="3">
        <v>15</v>
      </c>
      <c r="K515" s="2">
        <v>11730</v>
      </c>
      <c r="L515" s="2">
        <v>6920</v>
      </c>
      <c r="M515" s="2">
        <v>4810</v>
      </c>
      <c r="N515" s="14" t="s">
        <v>41</v>
      </c>
      <c r="O515" s="14">
        <v>1</v>
      </c>
      <c r="V515" s="2"/>
    </row>
    <row r="516" spans="1:22">
      <c r="A516">
        <v>10545</v>
      </c>
      <c r="B516" s="7" t="s">
        <v>369</v>
      </c>
      <c r="C516" s="14" t="s">
        <v>130</v>
      </c>
      <c r="D516" s="14" t="s">
        <v>39</v>
      </c>
      <c r="E516" s="14" t="s">
        <v>61</v>
      </c>
      <c r="F516" s="14" t="s">
        <v>51</v>
      </c>
      <c r="G516" s="14" t="s">
        <v>63</v>
      </c>
      <c r="H516" s="14">
        <v>5</v>
      </c>
      <c r="I516" s="2">
        <v>680</v>
      </c>
      <c r="J516" s="3">
        <v>15</v>
      </c>
      <c r="K516" s="2">
        <v>2890</v>
      </c>
      <c r="L516" s="2">
        <v>1705</v>
      </c>
      <c r="M516" s="2">
        <v>1185</v>
      </c>
      <c r="N516" s="14" t="s">
        <v>38</v>
      </c>
      <c r="O516" s="14">
        <v>3</v>
      </c>
      <c r="V516" s="2"/>
    </row>
    <row r="517" spans="1:22">
      <c r="A517">
        <v>10546</v>
      </c>
      <c r="B517" s="7" t="s">
        <v>460</v>
      </c>
      <c r="C517" s="14" t="s">
        <v>147</v>
      </c>
      <c r="D517" s="14" t="s">
        <v>39</v>
      </c>
      <c r="E517" s="14" t="s">
        <v>61</v>
      </c>
      <c r="F517" s="14" t="s">
        <v>52</v>
      </c>
      <c r="G517" s="14" t="s">
        <v>70</v>
      </c>
      <c r="H517" s="14">
        <v>3</v>
      </c>
      <c r="I517" s="2">
        <v>1460</v>
      </c>
      <c r="J517" s="3">
        <v>0</v>
      </c>
      <c r="K517" s="2">
        <v>4380</v>
      </c>
      <c r="L517" s="2">
        <v>3197</v>
      </c>
      <c r="M517" s="2">
        <v>1183</v>
      </c>
      <c r="N517" s="14" t="s">
        <v>44</v>
      </c>
      <c r="O517" s="14">
        <v>3</v>
      </c>
      <c r="V517" s="2"/>
    </row>
    <row r="518" spans="1:22">
      <c r="A518">
        <v>10547</v>
      </c>
      <c r="B518" s="7" t="s">
        <v>314</v>
      </c>
      <c r="C518" s="14" t="s">
        <v>116</v>
      </c>
      <c r="D518" s="14" t="s">
        <v>45</v>
      </c>
      <c r="E518" s="14" t="s">
        <v>56</v>
      </c>
      <c r="F518" s="14" t="s">
        <v>150</v>
      </c>
      <c r="G518" s="14" t="s">
        <v>66</v>
      </c>
      <c r="H518" s="14">
        <v>8</v>
      </c>
      <c r="I518" s="2">
        <v>290</v>
      </c>
      <c r="J518" s="3">
        <v>0</v>
      </c>
      <c r="K518" s="2">
        <v>2320</v>
      </c>
      <c r="L518" s="2">
        <v>1600</v>
      </c>
      <c r="M518" s="2">
        <v>720</v>
      </c>
      <c r="N518" s="14" t="s">
        <v>38</v>
      </c>
      <c r="O518" s="14">
        <v>4</v>
      </c>
      <c r="V518" s="2"/>
    </row>
    <row r="519" spans="1:22">
      <c r="A519">
        <v>10548</v>
      </c>
      <c r="B519" s="7" t="s">
        <v>461</v>
      </c>
      <c r="C519" s="14" t="s">
        <v>137</v>
      </c>
      <c r="D519" s="14" t="s">
        <v>42</v>
      </c>
      <c r="E519" s="14" t="s">
        <v>61</v>
      </c>
      <c r="F519" s="14" t="s">
        <v>117</v>
      </c>
      <c r="G519" s="14" t="s">
        <v>74</v>
      </c>
      <c r="H519" s="14">
        <v>8</v>
      </c>
      <c r="I519" s="2">
        <v>1930</v>
      </c>
      <c r="J519" s="3">
        <v>5</v>
      </c>
      <c r="K519" s="2">
        <v>14668</v>
      </c>
      <c r="L519" s="2">
        <v>9974</v>
      </c>
      <c r="M519" s="2">
        <v>4694</v>
      </c>
      <c r="N519" s="14" t="s">
        <v>38</v>
      </c>
      <c r="O519" s="14">
        <v>3</v>
      </c>
      <c r="V519" s="2"/>
    </row>
    <row r="520" spans="1:22">
      <c r="A520">
        <v>10549</v>
      </c>
      <c r="B520" s="7" t="s">
        <v>414</v>
      </c>
      <c r="C520" s="14" t="s">
        <v>128</v>
      </c>
      <c r="D520" s="14" t="s">
        <v>45</v>
      </c>
      <c r="E520" s="14" t="s">
        <v>58</v>
      </c>
      <c r="F520" s="14" t="s">
        <v>43</v>
      </c>
      <c r="G520" s="14" t="s">
        <v>66</v>
      </c>
      <c r="H520" s="14">
        <v>6</v>
      </c>
      <c r="I520" s="2">
        <v>590</v>
      </c>
      <c r="J520" s="3">
        <v>20</v>
      </c>
      <c r="K520" s="2">
        <v>2832</v>
      </c>
      <c r="L520" s="2">
        <v>1784</v>
      </c>
      <c r="M520" s="2">
        <v>1048</v>
      </c>
      <c r="N520" s="14" t="s">
        <v>41</v>
      </c>
      <c r="O520" s="14">
        <v>2</v>
      </c>
      <c r="V520" s="2"/>
    </row>
    <row r="521" spans="1:22">
      <c r="A521">
        <v>10550</v>
      </c>
      <c r="B521" s="7" t="s">
        <v>271</v>
      </c>
      <c r="C521" s="14" t="s">
        <v>147</v>
      </c>
      <c r="D521" s="14" t="s">
        <v>45</v>
      </c>
      <c r="E521" s="14" t="s">
        <v>58</v>
      </c>
      <c r="F521" s="14" t="s">
        <v>55</v>
      </c>
      <c r="G521" s="14" t="s">
        <v>72</v>
      </c>
      <c r="H521" s="14">
        <v>10</v>
      </c>
      <c r="I521" s="2">
        <v>380</v>
      </c>
      <c r="J521" s="3">
        <v>20</v>
      </c>
      <c r="K521" s="2">
        <v>3040</v>
      </c>
      <c r="L521" s="2">
        <v>2553</v>
      </c>
      <c r="M521" s="2">
        <v>487</v>
      </c>
      <c r="N521" s="14" t="s">
        <v>41</v>
      </c>
      <c r="O521" s="14">
        <v>5</v>
      </c>
      <c r="V521" s="2"/>
    </row>
    <row r="522" spans="1:22">
      <c r="A522">
        <v>10551</v>
      </c>
      <c r="B522" s="7" t="s">
        <v>462</v>
      </c>
      <c r="C522" s="14" t="s">
        <v>116</v>
      </c>
      <c r="D522" s="14" t="s">
        <v>42</v>
      </c>
      <c r="E522" s="14" t="s">
        <v>58</v>
      </c>
      <c r="F522" s="14" t="s">
        <v>40</v>
      </c>
      <c r="G522" s="14" t="s">
        <v>68</v>
      </c>
      <c r="H522" s="14">
        <v>13</v>
      </c>
      <c r="I522" s="2">
        <v>1560</v>
      </c>
      <c r="J522" s="3">
        <v>20</v>
      </c>
      <c r="K522" s="2">
        <v>16224</v>
      </c>
      <c r="L522" s="2">
        <v>10870</v>
      </c>
      <c r="M522" s="2">
        <v>5354</v>
      </c>
      <c r="N522" s="14" t="s">
        <v>47</v>
      </c>
      <c r="O522" s="14">
        <v>3</v>
      </c>
      <c r="V522" s="2"/>
    </row>
    <row r="523" spans="1:22">
      <c r="A523">
        <v>10552</v>
      </c>
      <c r="B523" s="7" t="s">
        <v>463</v>
      </c>
      <c r="C523" s="14" t="s">
        <v>135</v>
      </c>
      <c r="D523" s="14" t="s">
        <v>39</v>
      </c>
      <c r="E523" s="14" t="s">
        <v>56</v>
      </c>
      <c r="F523" s="14" t="s">
        <v>50</v>
      </c>
      <c r="G523" s="14" t="s">
        <v>70</v>
      </c>
      <c r="H523" s="14">
        <v>8</v>
      </c>
      <c r="I523" s="2">
        <v>900</v>
      </c>
      <c r="J523" s="3">
        <v>5</v>
      </c>
      <c r="K523" s="2">
        <v>6840</v>
      </c>
      <c r="L523" s="2">
        <v>5540</v>
      </c>
      <c r="M523" s="2">
        <v>1300</v>
      </c>
      <c r="N523" s="14" t="s">
        <v>47</v>
      </c>
      <c r="O523" s="14">
        <v>1</v>
      </c>
      <c r="V523" s="2"/>
    </row>
    <row r="524" spans="1:22">
      <c r="A524">
        <v>10553</v>
      </c>
      <c r="B524" s="7" t="s">
        <v>153</v>
      </c>
      <c r="C524" s="14" t="s">
        <v>111</v>
      </c>
      <c r="D524" s="14" t="s">
        <v>42</v>
      </c>
      <c r="E524" s="14" t="s">
        <v>56</v>
      </c>
      <c r="F524" s="14" t="s">
        <v>131</v>
      </c>
      <c r="G524" s="14" t="s">
        <v>64</v>
      </c>
      <c r="H524" s="14">
        <v>5</v>
      </c>
      <c r="I524" s="2">
        <v>1790</v>
      </c>
      <c r="J524" s="3">
        <v>20</v>
      </c>
      <c r="K524" s="2">
        <v>7160</v>
      </c>
      <c r="L524" s="2">
        <v>4868</v>
      </c>
      <c r="M524" s="2">
        <v>2292</v>
      </c>
      <c r="N524" s="14" t="s">
        <v>44</v>
      </c>
      <c r="O524" s="14">
        <v>4</v>
      </c>
      <c r="V524" s="2"/>
    </row>
    <row r="525" spans="1:22">
      <c r="A525">
        <v>10554</v>
      </c>
      <c r="B525" s="7" t="s">
        <v>464</v>
      </c>
      <c r="C525" s="14" t="s">
        <v>111</v>
      </c>
      <c r="D525" s="14" t="s">
        <v>42</v>
      </c>
      <c r="E525" s="14" t="s">
        <v>61</v>
      </c>
      <c r="F525" s="14" t="s">
        <v>117</v>
      </c>
      <c r="G525" s="14" t="s">
        <v>72</v>
      </c>
      <c r="H525" s="14">
        <v>4</v>
      </c>
      <c r="I525" s="2">
        <v>1470</v>
      </c>
      <c r="J525" s="3">
        <v>10</v>
      </c>
      <c r="K525" s="2">
        <v>5292</v>
      </c>
      <c r="L525" s="2">
        <v>3598</v>
      </c>
      <c r="M525" s="2">
        <v>1694</v>
      </c>
      <c r="N525" s="14" t="s">
        <v>47</v>
      </c>
      <c r="O525" s="14">
        <v>2</v>
      </c>
      <c r="V525" s="2"/>
    </row>
    <row r="526" spans="1:22">
      <c r="A526">
        <v>10555</v>
      </c>
      <c r="B526" s="7" t="s">
        <v>166</v>
      </c>
      <c r="C526" s="14" t="s">
        <v>128</v>
      </c>
      <c r="D526" s="14" t="s">
        <v>39</v>
      </c>
      <c r="E526" s="14" t="s">
        <v>56</v>
      </c>
      <c r="F526" s="14" t="s">
        <v>50</v>
      </c>
      <c r="G526" s="14" t="s">
        <v>72</v>
      </c>
      <c r="H526" s="14">
        <v>4</v>
      </c>
      <c r="I526" s="2">
        <v>1050</v>
      </c>
      <c r="J526" s="3">
        <v>20</v>
      </c>
      <c r="K526" s="2">
        <v>3360</v>
      </c>
      <c r="L526" s="2">
        <v>2856</v>
      </c>
      <c r="M526" s="2">
        <v>504</v>
      </c>
      <c r="N526" s="14" t="s">
        <v>44</v>
      </c>
      <c r="O526" s="14">
        <v>2</v>
      </c>
      <c r="V526" s="2"/>
    </row>
    <row r="527" spans="1:22">
      <c r="A527">
        <v>10556</v>
      </c>
      <c r="B527" s="7" t="s">
        <v>465</v>
      </c>
      <c r="C527" s="14" t="s">
        <v>120</v>
      </c>
      <c r="D527" s="14" t="s">
        <v>45</v>
      </c>
      <c r="E527" s="14" t="s">
        <v>61</v>
      </c>
      <c r="F527" s="14" t="s">
        <v>143</v>
      </c>
      <c r="G527" s="14" t="s">
        <v>68</v>
      </c>
      <c r="H527" s="14">
        <v>6</v>
      </c>
      <c r="I527" s="2">
        <v>480</v>
      </c>
      <c r="J527" s="3">
        <v>10</v>
      </c>
      <c r="K527" s="2">
        <v>2592</v>
      </c>
      <c r="L527" s="2">
        <v>2047</v>
      </c>
      <c r="M527" s="2">
        <v>545</v>
      </c>
      <c r="N527" s="14" t="s">
        <v>38</v>
      </c>
      <c r="O527" s="14">
        <v>4</v>
      </c>
      <c r="V527" s="2"/>
    </row>
    <row r="528" spans="1:22">
      <c r="A528">
        <v>10558</v>
      </c>
      <c r="B528" s="7" t="s">
        <v>466</v>
      </c>
      <c r="C528" s="14" t="s">
        <v>116</v>
      </c>
      <c r="D528" s="14" t="s">
        <v>36</v>
      </c>
      <c r="E528" s="14" t="s">
        <v>58</v>
      </c>
      <c r="F528" s="14" t="s">
        <v>43</v>
      </c>
      <c r="G528" s="14" t="s">
        <v>72</v>
      </c>
      <c r="H528" s="14">
        <v>11</v>
      </c>
      <c r="I528" s="2">
        <v>540</v>
      </c>
      <c r="J528" s="3">
        <v>15</v>
      </c>
      <c r="K528" s="2">
        <v>5049</v>
      </c>
      <c r="L528" s="2">
        <v>2928</v>
      </c>
      <c r="M528" s="2">
        <v>2121</v>
      </c>
      <c r="N528" s="14" t="s">
        <v>44</v>
      </c>
      <c r="O528" s="14">
        <v>1</v>
      </c>
      <c r="V528" s="2"/>
    </row>
    <row r="529" spans="1:22">
      <c r="A529">
        <v>10559</v>
      </c>
      <c r="B529" s="7" t="s">
        <v>175</v>
      </c>
      <c r="C529" s="14" t="s">
        <v>137</v>
      </c>
      <c r="D529" s="14" t="s">
        <v>45</v>
      </c>
      <c r="E529" s="14" t="s">
        <v>61</v>
      </c>
      <c r="F529" s="14" t="s">
        <v>117</v>
      </c>
      <c r="G529" s="14" t="s">
        <v>63</v>
      </c>
      <c r="H529" s="14">
        <v>11</v>
      </c>
      <c r="I529" s="2">
        <v>720</v>
      </c>
      <c r="J529" s="3">
        <v>10</v>
      </c>
      <c r="K529" s="2">
        <v>7128</v>
      </c>
      <c r="L529" s="2">
        <v>5060</v>
      </c>
      <c r="M529" s="2">
        <v>2068</v>
      </c>
      <c r="N529" s="14" t="s">
        <v>47</v>
      </c>
      <c r="O529" s="14">
        <v>4</v>
      </c>
      <c r="V529" s="2"/>
    </row>
    <row r="530" spans="1:22">
      <c r="A530">
        <v>10560</v>
      </c>
      <c r="B530" s="7" t="s">
        <v>430</v>
      </c>
      <c r="C530" s="14" t="s">
        <v>147</v>
      </c>
      <c r="D530" s="14" t="s">
        <v>36</v>
      </c>
      <c r="E530" s="14" t="s">
        <v>61</v>
      </c>
      <c r="F530" s="14" t="s">
        <v>51</v>
      </c>
      <c r="G530" s="14" t="s">
        <v>72</v>
      </c>
      <c r="H530" s="14">
        <v>3</v>
      </c>
      <c r="I530" s="2">
        <v>1480</v>
      </c>
      <c r="J530" s="3">
        <v>5</v>
      </c>
      <c r="K530" s="2">
        <v>4218</v>
      </c>
      <c r="L530" s="2">
        <v>2868</v>
      </c>
      <c r="M530" s="2">
        <v>1350</v>
      </c>
      <c r="N530" s="14" t="s">
        <v>44</v>
      </c>
      <c r="O530" s="14">
        <v>2</v>
      </c>
      <c r="V530" s="2"/>
    </row>
    <row r="531" spans="1:22">
      <c r="A531">
        <v>10561</v>
      </c>
      <c r="B531" s="7" t="s">
        <v>165</v>
      </c>
      <c r="C531" s="14" t="s">
        <v>116</v>
      </c>
      <c r="D531" s="14" t="s">
        <v>36</v>
      </c>
      <c r="E531" s="14" t="s">
        <v>58</v>
      </c>
      <c r="F531" s="14" t="s">
        <v>43</v>
      </c>
      <c r="G531" s="14" t="s">
        <v>74</v>
      </c>
      <c r="H531" s="14">
        <v>3</v>
      </c>
      <c r="I531" s="2">
        <v>960</v>
      </c>
      <c r="J531" s="3">
        <v>10</v>
      </c>
      <c r="K531" s="2">
        <v>2592</v>
      </c>
      <c r="L531" s="2">
        <v>1451</v>
      </c>
      <c r="M531" s="2">
        <v>1141</v>
      </c>
      <c r="N531" s="14" t="s">
        <v>38</v>
      </c>
      <c r="O531" s="14">
        <v>4</v>
      </c>
      <c r="V531" s="2"/>
    </row>
    <row r="532" spans="1:22">
      <c r="A532">
        <v>10562</v>
      </c>
      <c r="B532" s="7" t="s">
        <v>153</v>
      </c>
      <c r="C532" s="14" t="s">
        <v>128</v>
      </c>
      <c r="D532" s="14" t="s">
        <v>36</v>
      </c>
      <c r="E532" s="14" t="s">
        <v>56</v>
      </c>
      <c r="F532" s="14" t="s">
        <v>57</v>
      </c>
      <c r="G532" s="14" t="s">
        <v>72</v>
      </c>
      <c r="H532" s="14">
        <v>12</v>
      </c>
      <c r="I532" s="2">
        <v>1070</v>
      </c>
      <c r="J532" s="3">
        <v>15</v>
      </c>
      <c r="K532" s="2">
        <v>10914</v>
      </c>
      <c r="L532" s="2">
        <v>9276</v>
      </c>
      <c r="M532" s="2">
        <v>1638</v>
      </c>
      <c r="N532" s="14" t="s">
        <v>47</v>
      </c>
      <c r="O532" s="14">
        <v>4</v>
      </c>
      <c r="V532" s="2"/>
    </row>
    <row r="533" spans="1:22">
      <c r="A533">
        <v>10563</v>
      </c>
      <c r="B533" s="7" t="s">
        <v>467</v>
      </c>
      <c r="C533" s="14" t="s">
        <v>147</v>
      </c>
      <c r="D533" s="14" t="s">
        <v>42</v>
      </c>
      <c r="E533" s="14" t="s">
        <v>58</v>
      </c>
      <c r="F533" s="14" t="s">
        <v>40</v>
      </c>
      <c r="G533" s="14" t="s">
        <v>66</v>
      </c>
      <c r="H533" s="14">
        <v>7</v>
      </c>
      <c r="I533" s="2">
        <v>1000</v>
      </c>
      <c r="J533" s="3">
        <v>0</v>
      </c>
      <c r="K533" s="2">
        <v>7000</v>
      </c>
      <c r="L533" s="2">
        <v>4410</v>
      </c>
      <c r="M533" s="2">
        <v>2590</v>
      </c>
      <c r="N533" s="14" t="s">
        <v>38</v>
      </c>
      <c r="O533" s="14">
        <v>1</v>
      </c>
      <c r="V533" s="2"/>
    </row>
    <row r="534" spans="1:22">
      <c r="A534">
        <v>10564</v>
      </c>
      <c r="B534" s="7" t="s">
        <v>338</v>
      </c>
      <c r="C534" s="14" t="s">
        <v>141</v>
      </c>
      <c r="D534" s="14" t="s">
        <v>42</v>
      </c>
      <c r="E534" s="14" t="s">
        <v>56</v>
      </c>
      <c r="F534" s="14" t="s">
        <v>131</v>
      </c>
      <c r="G534" s="14" t="s">
        <v>66</v>
      </c>
      <c r="H534" s="14">
        <v>3</v>
      </c>
      <c r="I534" s="2">
        <v>1880</v>
      </c>
      <c r="J534" s="3">
        <v>5</v>
      </c>
      <c r="K534" s="2">
        <v>5358</v>
      </c>
      <c r="L534" s="2">
        <v>4554</v>
      </c>
      <c r="M534" s="2">
        <v>804</v>
      </c>
      <c r="N534" s="14" t="s">
        <v>44</v>
      </c>
      <c r="O534" s="14">
        <v>5</v>
      </c>
      <c r="V534" s="2"/>
    </row>
    <row r="535" spans="1:22">
      <c r="A535">
        <v>10565</v>
      </c>
      <c r="B535" s="7" t="s">
        <v>468</v>
      </c>
      <c r="C535" s="14" t="s">
        <v>137</v>
      </c>
      <c r="D535" s="14" t="s">
        <v>39</v>
      </c>
      <c r="E535" s="14" t="s">
        <v>61</v>
      </c>
      <c r="F535" s="14" t="s">
        <v>46</v>
      </c>
      <c r="G535" s="14" t="s">
        <v>74</v>
      </c>
      <c r="H535" s="14">
        <v>15</v>
      </c>
      <c r="I535" s="2">
        <v>1380</v>
      </c>
      <c r="J535" s="3">
        <v>0</v>
      </c>
      <c r="K535" s="2">
        <v>20700</v>
      </c>
      <c r="L535" s="2">
        <v>16146</v>
      </c>
      <c r="M535" s="2">
        <v>4554</v>
      </c>
      <c r="N535" s="14" t="s">
        <v>38</v>
      </c>
      <c r="O535" s="14">
        <v>5</v>
      </c>
      <c r="V535" s="2"/>
    </row>
    <row r="536" spans="1:22">
      <c r="A536">
        <v>10566</v>
      </c>
      <c r="B536" s="7" t="s">
        <v>296</v>
      </c>
      <c r="C536" s="14" t="s">
        <v>137</v>
      </c>
      <c r="D536" s="14" t="s">
        <v>42</v>
      </c>
      <c r="E536" s="14" t="s">
        <v>56</v>
      </c>
      <c r="F536" s="14" t="s">
        <v>50</v>
      </c>
      <c r="G536" s="14" t="s">
        <v>66</v>
      </c>
      <c r="H536" s="14">
        <v>10</v>
      </c>
      <c r="I536" s="2">
        <v>1180</v>
      </c>
      <c r="J536" s="3">
        <v>0</v>
      </c>
      <c r="K536" s="2">
        <v>11800</v>
      </c>
      <c r="L536" s="2">
        <v>9794</v>
      </c>
      <c r="M536" s="2">
        <v>2006</v>
      </c>
      <c r="N536" s="14" t="s">
        <v>44</v>
      </c>
      <c r="O536" s="14">
        <v>2</v>
      </c>
      <c r="V536" s="2"/>
    </row>
    <row r="537" spans="1:22">
      <c r="A537">
        <v>10567</v>
      </c>
      <c r="B537" s="7" t="s">
        <v>152</v>
      </c>
      <c r="C537" s="14" t="s">
        <v>147</v>
      </c>
      <c r="D537" s="14" t="s">
        <v>45</v>
      </c>
      <c r="E537" s="14" t="s">
        <v>56</v>
      </c>
      <c r="F537" s="14" t="s">
        <v>131</v>
      </c>
      <c r="G537" s="14" t="s">
        <v>74</v>
      </c>
      <c r="H537" s="14">
        <v>6</v>
      </c>
      <c r="I537" s="2">
        <v>1040</v>
      </c>
      <c r="J537" s="3">
        <v>20</v>
      </c>
      <c r="K537" s="2">
        <v>4992</v>
      </c>
      <c r="L537" s="2">
        <v>3594</v>
      </c>
      <c r="M537" s="2">
        <v>1398</v>
      </c>
      <c r="N537" s="14" t="s">
        <v>41</v>
      </c>
      <c r="O537" s="14">
        <v>4</v>
      </c>
      <c r="V537" s="2"/>
    </row>
    <row r="538" spans="1:22">
      <c r="A538">
        <v>10568</v>
      </c>
      <c r="B538" s="7" t="s">
        <v>469</v>
      </c>
      <c r="C538" s="14" t="s">
        <v>130</v>
      </c>
      <c r="D538" s="14" t="s">
        <v>36</v>
      </c>
      <c r="E538" s="14" t="s">
        <v>56</v>
      </c>
      <c r="F538" s="14" t="s">
        <v>150</v>
      </c>
      <c r="G538" s="14" t="s">
        <v>70</v>
      </c>
      <c r="H538" s="14">
        <v>6</v>
      </c>
      <c r="I538" s="2">
        <v>1160</v>
      </c>
      <c r="J538" s="3">
        <v>5</v>
      </c>
      <c r="K538" s="2">
        <v>6612</v>
      </c>
      <c r="L538" s="2">
        <v>4959</v>
      </c>
      <c r="M538" s="2">
        <v>1653</v>
      </c>
      <c r="N538" s="14" t="s">
        <v>38</v>
      </c>
      <c r="O538" s="14">
        <v>2</v>
      </c>
      <c r="V538" s="2"/>
    </row>
    <row r="539" spans="1:22">
      <c r="A539">
        <v>10569</v>
      </c>
      <c r="B539" s="7" t="s">
        <v>470</v>
      </c>
      <c r="C539" s="14" t="s">
        <v>130</v>
      </c>
      <c r="D539" s="14" t="s">
        <v>45</v>
      </c>
      <c r="E539" s="14" t="s">
        <v>56</v>
      </c>
      <c r="F539" s="14" t="s">
        <v>57</v>
      </c>
      <c r="G539" s="14" t="s">
        <v>63</v>
      </c>
      <c r="H539" s="14">
        <v>7</v>
      </c>
      <c r="I539" s="2">
        <v>1710</v>
      </c>
      <c r="J539" s="3">
        <v>10</v>
      </c>
      <c r="K539" s="2">
        <v>10773</v>
      </c>
      <c r="L539" s="2">
        <v>8295</v>
      </c>
      <c r="M539" s="2">
        <v>2478</v>
      </c>
      <c r="N539" s="14" t="s">
        <v>44</v>
      </c>
      <c r="O539" s="14">
        <v>5</v>
      </c>
      <c r="V539" s="2"/>
    </row>
    <row r="540" spans="1:22">
      <c r="A540">
        <v>10570</v>
      </c>
      <c r="B540" s="7" t="s">
        <v>202</v>
      </c>
      <c r="C540" s="14" t="s">
        <v>120</v>
      </c>
      <c r="D540" s="14" t="s">
        <v>45</v>
      </c>
      <c r="E540" s="14" t="s">
        <v>56</v>
      </c>
      <c r="F540" s="14" t="s">
        <v>57</v>
      </c>
      <c r="G540" s="14" t="s">
        <v>68</v>
      </c>
      <c r="H540" s="14">
        <v>4</v>
      </c>
      <c r="I540" s="2">
        <v>1860</v>
      </c>
      <c r="J540" s="3">
        <v>5</v>
      </c>
      <c r="K540" s="2">
        <v>7068</v>
      </c>
      <c r="L540" s="2">
        <v>6007</v>
      </c>
      <c r="M540" s="2">
        <v>1061</v>
      </c>
      <c r="N540" s="14" t="s">
        <v>41</v>
      </c>
      <c r="O540" s="14">
        <v>5</v>
      </c>
      <c r="V540" s="2"/>
    </row>
    <row r="541" spans="1:22">
      <c r="A541">
        <v>10571</v>
      </c>
      <c r="B541" s="7" t="s">
        <v>471</v>
      </c>
      <c r="C541" s="14" t="s">
        <v>130</v>
      </c>
      <c r="D541" s="14" t="s">
        <v>45</v>
      </c>
      <c r="E541" s="14" t="s">
        <v>61</v>
      </c>
      <c r="F541" s="14" t="s">
        <v>52</v>
      </c>
      <c r="G541" s="14" t="s">
        <v>68</v>
      </c>
      <c r="H541" s="14">
        <v>6</v>
      </c>
      <c r="I541" s="2">
        <v>500</v>
      </c>
      <c r="J541" s="3">
        <v>10</v>
      </c>
      <c r="K541" s="2">
        <v>2700</v>
      </c>
      <c r="L541" s="2">
        <v>2133</v>
      </c>
      <c r="M541" s="2">
        <v>567</v>
      </c>
      <c r="N541" s="14" t="s">
        <v>38</v>
      </c>
      <c r="O541" s="14">
        <v>4</v>
      </c>
      <c r="V541" s="2"/>
    </row>
    <row r="542" spans="1:22">
      <c r="A542">
        <v>10572</v>
      </c>
      <c r="B542" s="7" t="s">
        <v>303</v>
      </c>
      <c r="C542" s="14" t="s">
        <v>128</v>
      </c>
      <c r="D542" s="14" t="s">
        <v>39</v>
      </c>
      <c r="E542" s="14" t="s">
        <v>58</v>
      </c>
      <c r="F542" s="14" t="s">
        <v>37</v>
      </c>
      <c r="G542" s="14" t="s">
        <v>74</v>
      </c>
      <c r="H542" s="14">
        <v>6</v>
      </c>
      <c r="I542" s="2">
        <v>1680</v>
      </c>
      <c r="J542" s="3">
        <v>5</v>
      </c>
      <c r="K542" s="2">
        <v>9576</v>
      </c>
      <c r="L542" s="2">
        <v>6032</v>
      </c>
      <c r="M542" s="2">
        <v>3544</v>
      </c>
      <c r="N542" s="14" t="s">
        <v>41</v>
      </c>
      <c r="O542" s="14">
        <v>2</v>
      </c>
      <c r="V542" s="2"/>
    </row>
    <row r="543" spans="1:22">
      <c r="A543">
        <v>10573</v>
      </c>
      <c r="B543" s="7" t="s">
        <v>456</v>
      </c>
      <c r="C543" s="14" t="s">
        <v>125</v>
      </c>
      <c r="D543" s="14" t="s">
        <v>36</v>
      </c>
      <c r="E543" s="14" t="s">
        <v>61</v>
      </c>
      <c r="F543" s="14" t="s">
        <v>51</v>
      </c>
      <c r="G543" s="14" t="s">
        <v>74</v>
      </c>
      <c r="H543" s="14">
        <v>14</v>
      </c>
      <c r="I543" s="2">
        <v>1250</v>
      </c>
      <c r="J543" s="3">
        <v>15</v>
      </c>
      <c r="K543" s="2">
        <v>14875</v>
      </c>
      <c r="L543" s="2">
        <v>8330</v>
      </c>
      <c r="M543" s="2">
        <v>6545</v>
      </c>
      <c r="N543" s="14" t="s">
        <v>38</v>
      </c>
      <c r="O543" s="14">
        <v>3</v>
      </c>
      <c r="V543" s="2"/>
    </row>
    <row r="544" spans="1:22">
      <c r="A544">
        <v>10574</v>
      </c>
      <c r="B544" s="7" t="s">
        <v>472</v>
      </c>
      <c r="C544" s="14" t="s">
        <v>141</v>
      </c>
      <c r="D544" s="14" t="s">
        <v>36</v>
      </c>
      <c r="E544" s="14" t="s">
        <v>58</v>
      </c>
      <c r="F544" s="14" t="s">
        <v>37</v>
      </c>
      <c r="G544" s="14" t="s">
        <v>66</v>
      </c>
      <c r="H544" s="14">
        <v>9</v>
      </c>
      <c r="I544" s="2">
        <v>1000</v>
      </c>
      <c r="J544" s="3">
        <v>10</v>
      </c>
      <c r="K544" s="2">
        <v>8100</v>
      </c>
      <c r="L544" s="2">
        <v>6642</v>
      </c>
      <c r="M544" s="2">
        <v>1458</v>
      </c>
      <c r="N544" s="14" t="s">
        <v>47</v>
      </c>
      <c r="O544" s="14">
        <v>2</v>
      </c>
      <c r="V544" s="2"/>
    </row>
    <row r="545" spans="1:22">
      <c r="A545">
        <v>10576</v>
      </c>
      <c r="B545" s="7" t="s">
        <v>446</v>
      </c>
      <c r="C545" s="14" t="s">
        <v>147</v>
      </c>
      <c r="D545" s="14" t="s">
        <v>45</v>
      </c>
      <c r="E545" s="14" t="s">
        <v>58</v>
      </c>
      <c r="F545" s="14" t="s">
        <v>40</v>
      </c>
      <c r="G545" s="14" t="s">
        <v>64</v>
      </c>
      <c r="H545" s="14">
        <v>3</v>
      </c>
      <c r="I545" s="2">
        <v>1760</v>
      </c>
      <c r="J545" s="3">
        <v>5</v>
      </c>
      <c r="K545" s="2">
        <v>5016</v>
      </c>
      <c r="L545" s="2">
        <v>3762</v>
      </c>
      <c r="M545" s="2">
        <v>1254</v>
      </c>
      <c r="N545" s="14" t="s">
        <v>41</v>
      </c>
      <c r="O545" s="14">
        <v>4</v>
      </c>
      <c r="V545" s="2"/>
    </row>
    <row r="546" spans="1:22">
      <c r="A546">
        <v>10577</v>
      </c>
      <c r="B546" s="7" t="s">
        <v>473</v>
      </c>
      <c r="C546" s="14" t="s">
        <v>137</v>
      </c>
      <c r="D546" s="14" t="s">
        <v>39</v>
      </c>
      <c r="E546" s="14" t="s">
        <v>61</v>
      </c>
      <c r="F546" s="14" t="s">
        <v>117</v>
      </c>
      <c r="G546" s="14" t="s">
        <v>63</v>
      </c>
      <c r="H546" s="14">
        <v>3</v>
      </c>
      <c r="I546" s="2">
        <v>1210</v>
      </c>
      <c r="J546" s="3">
        <v>15</v>
      </c>
      <c r="K546" s="2">
        <v>3085.5</v>
      </c>
      <c r="L546" s="2">
        <v>2283</v>
      </c>
      <c r="M546" s="2">
        <v>802.5</v>
      </c>
      <c r="N546" s="14" t="s">
        <v>41</v>
      </c>
      <c r="O546" s="14">
        <v>1</v>
      </c>
      <c r="V546" s="2"/>
    </row>
    <row r="547" spans="1:22">
      <c r="A547">
        <v>10578</v>
      </c>
      <c r="B547" s="7" t="s">
        <v>474</v>
      </c>
      <c r="C547" s="14" t="s">
        <v>147</v>
      </c>
      <c r="D547" s="14" t="s">
        <v>45</v>
      </c>
      <c r="E547" s="14" t="s">
        <v>61</v>
      </c>
      <c r="F547" s="14" t="s">
        <v>117</v>
      </c>
      <c r="G547" s="14" t="s">
        <v>72</v>
      </c>
      <c r="H547" s="14">
        <v>10</v>
      </c>
      <c r="I547" s="2">
        <v>900</v>
      </c>
      <c r="J547" s="3">
        <v>15</v>
      </c>
      <c r="K547" s="2">
        <v>7650</v>
      </c>
      <c r="L547" s="2">
        <v>5202</v>
      </c>
      <c r="M547" s="2">
        <v>2448</v>
      </c>
      <c r="N547" s="14" t="s">
        <v>38</v>
      </c>
      <c r="O547" s="14">
        <v>2</v>
      </c>
      <c r="V547" s="2"/>
    </row>
    <row r="548" spans="1:22">
      <c r="A548">
        <v>10579</v>
      </c>
      <c r="B548" s="7" t="s">
        <v>475</v>
      </c>
      <c r="C548" s="14" t="s">
        <v>111</v>
      </c>
      <c r="D548" s="14" t="s">
        <v>39</v>
      </c>
      <c r="E548" s="14" t="s">
        <v>56</v>
      </c>
      <c r="F548" s="14" t="s">
        <v>150</v>
      </c>
      <c r="G548" s="14" t="s">
        <v>68</v>
      </c>
      <c r="H548" s="14">
        <v>13</v>
      </c>
      <c r="I548" s="2">
        <v>350</v>
      </c>
      <c r="J548" s="3">
        <v>20</v>
      </c>
      <c r="K548" s="2">
        <v>3640</v>
      </c>
      <c r="L548" s="2">
        <v>2184</v>
      </c>
      <c r="M548" s="2">
        <v>1456</v>
      </c>
      <c r="N548" s="14" t="s">
        <v>41</v>
      </c>
      <c r="O548" s="14">
        <v>1</v>
      </c>
      <c r="V548" s="2"/>
    </row>
    <row r="549" spans="1:22">
      <c r="A549">
        <v>10580</v>
      </c>
      <c r="B549" s="7" t="s">
        <v>476</v>
      </c>
      <c r="C549" s="14" t="s">
        <v>135</v>
      </c>
      <c r="D549" s="14" t="s">
        <v>39</v>
      </c>
      <c r="E549" s="14" t="s">
        <v>56</v>
      </c>
      <c r="F549" s="14" t="s">
        <v>57</v>
      </c>
      <c r="G549" s="14" t="s">
        <v>66</v>
      </c>
      <c r="H549" s="14">
        <v>9</v>
      </c>
      <c r="I549" s="2">
        <v>560</v>
      </c>
      <c r="J549" s="3">
        <v>20</v>
      </c>
      <c r="K549" s="2">
        <v>4032</v>
      </c>
      <c r="L549" s="2">
        <v>2298</v>
      </c>
      <c r="M549" s="2">
        <v>1734</v>
      </c>
      <c r="N549" s="14" t="s">
        <v>47</v>
      </c>
      <c r="O549" s="14">
        <v>5</v>
      </c>
      <c r="V549" s="2"/>
    </row>
    <row r="550" spans="1:22">
      <c r="A550">
        <v>10581</v>
      </c>
      <c r="B550" s="7" t="s">
        <v>477</v>
      </c>
      <c r="C550" s="14" t="s">
        <v>116</v>
      </c>
      <c r="D550" s="14" t="s">
        <v>42</v>
      </c>
      <c r="E550" s="14" t="s">
        <v>61</v>
      </c>
      <c r="F550" s="14" t="s">
        <v>117</v>
      </c>
      <c r="G550" s="14" t="s">
        <v>68</v>
      </c>
      <c r="H550" s="14">
        <v>2</v>
      </c>
      <c r="I550" s="2">
        <v>1810</v>
      </c>
      <c r="J550" s="3">
        <v>0</v>
      </c>
      <c r="K550" s="2">
        <v>3620</v>
      </c>
      <c r="L550" s="2">
        <v>2606</v>
      </c>
      <c r="M550" s="2">
        <v>1014</v>
      </c>
      <c r="N550" s="14" t="s">
        <v>44</v>
      </c>
      <c r="O550" s="14">
        <v>3</v>
      </c>
      <c r="V550" s="2"/>
    </row>
    <row r="551" spans="1:22">
      <c r="A551">
        <v>10582</v>
      </c>
      <c r="B551" s="7" t="s">
        <v>478</v>
      </c>
      <c r="C551" s="14" t="s">
        <v>137</v>
      </c>
      <c r="D551" s="14" t="s">
        <v>42</v>
      </c>
      <c r="E551" s="14" t="s">
        <v>61</v>
      </c>
      <c r="F551" s="14" t="s">
        <v>46</v>
      </c>
      <c r="G551" s="14" t="s">
        <v>68</v>
      </c>
      <c r="H551" s="14">
        <v>15</v>
      </c>
      <c r="I551" s="2">
        <v>510</v>
      </c>
      <c r="J551" s="3">
        <v>5</v>
      </c>
      <c r="K551" s="2">
        <v>7267.5</v>
      </c>
      <c r="L551" s="2">
        <v>4215</v>
      </c>
      <c r="M551" s="2">
        <v>3052.5</v>
      </c>
      <c r="N551" s="14" t="s">
        <v>41</v>
      </c>
      <c r="O551" s="14">
        <v>5</v>
      </c>
      <c r="V551" s="2"/>
    </row>
    <row r="552" spans="1:22">
      <c r="A552">
        <v>10583</v>
      </c>
      <c r="B552" s="7" t="s">
        <v>354</v>
      </c>
      <c r="C552" s="14" t="s">
        <v>111</v>
      </c>
      <c r="D552" s="14" t="s">
        <v>36</v>
      </c>
      <c r="E552" s="14" t="s">
        <v>61</v>
      </c>
      <c r="F552" s="14" t="s">
        <v>117</v>
      </c>
      <c r="G552" s="14" t="s">
        <v>66</v>
      </c>
      <c r="H552" s="14">
        <v>6</v>
      </c>
      <c r="I552" s="2">
        <v>1290</v>
      </c>
      <c r="J552" s="3">
        <v>0</v>
      </c>
      <c r="K552" s="2">
        <v>7740</v>
      </c>
      <c r="L552" s="2">
        <v>6037</v>
      </c>
      <c r="M552" s="2">
        <v>1703</v>
      </c>
      <c r="N552" s="14" t="s">
        <v>47</v>
      </c>
      <c r="O552" s="14">
        <v>4</v>
      </c>
      <c r="V552" s="2"/>
    </row>
    <row r="553" spans="1:22">
      <c r="A553">
        <v>10584</v>
      </c>
      <c r="B553" s="7" t="s">
        <v>479</v>
      </c>
      <c r="C553" s="14" t="s">
        <v>125</v>
      </c>
      <c r="D553" s="14" t="s">
        <v>39</v>
      </c>
      <c r="E553" s="14" t="s">
        <v>56</v>
      </c>
      <c r="F553" s="14" t="s">
        <v>49</v>
      </c>
      <c r="G553" s="14" t="s">
        <v>63</v>
      </c>
      <c r="H553" s="14">
        <v>12</v>
      </c>
      <c r="I553" s="2">
        <v>210</v>
      </c>
      <c r="J553" s="3">
        <v>15</v>
      </c>
      <c r="K553" s="2">
        <v>2142</v>
      </c>
      <c r="L553" s="2">
        <v>1692</v>
      </c>
      <c r="M553" s="2">
        <v>450</v>
      </c>
      <c r="N553" s="14" t="s">
        <v>44</v>
      </c>
      <c r="O553" s="14">
        <v>3</v>
      </c>
      <c r="V553" s="2"/>
    </row>
    <row r="554" spans="1:22">
      <c r="A554">
        <v>10585</v>
      </c>
      <c r="B554" s="7" t="s">
        <v>355</v>
      </c>
      <c r="C554" s="14" t="s">
        <v>147</v>
      </c>
      <c r="D554" s="14" t="s">
        <v>42</v>
      </c>
      <c r="E554" s="14" t="s">
        <v>58</v>
      </c>
      <c r="F554" s="14" t="s">
        <v>40</v>
      </c>
      <c r="G554" s="14" t="s">
        <v>63</v>
      </c>
      <c r="H554" s="14">
        <v>2</v>
      </c>
      <c r="I554" s="2">
        <v>1330</v>
      </c>
      <c r="J554" s="3">
        <v>5</v>
      </c>
      <c r="K554" s="2">
        <v>2527</v>
      </c>
      <c r="L554" s="2">
        <v>1743</v>
      </c>
      <c r="M554" s="2">
        <v>784</v>
      </c>
      <c r="N554" s="14" t="s">
        <v>38</v>
      </c>
      <c r="O554" s="14">
        <v>3</v>
      </c>
      <c r="V554" s="2"/>
    </row>
    <row r="555" spans="1:22">
      <c r="A555">
        <v>10586</v>
      </c>
      <c r="B555" s="7" t="s">
        <v>69</v>
      </c>
      <c r="C555" s="14" t="s">
        <v>125</v>
      </c>
      <c r="D555" s="14" t="s">
        <v>45</v>
      </c>
      <c r="E555" s="14" t="s">
        <v>61</v>
      </c>
      <c r="F555" s="14" t="s">
        <v>117</v>
      </c>
      <c r="G555" s="14" t="s">
        <v>63</v>
      </c>
      <c r="H555" s="14">
        <v>3</v>
      </c>
      <c r="I555" s="2">
        <v>1900</v>
      </c>
      <c r="J555" s="3">
        <v>0</v>
      </c>
      <c r="K555" s="2">
        <v>5700</v>
      </c>
      <c r="L555" s="2">
        <v>3135</v>
      </c>
      <c r="M555" s="2">
        <v>2565</v>
      </c>
      <c r="N555" s="14" t="s">
        <v>41</v>
      </c>
      <c r="O555" s="14">
        <v>4</v>
      </c>
      <c r="V555" s="2"/>
    </row>
    <row r="556" spans="1:22">
      <c r="A556">
        <v>10587</v>
      </c>
      <c r="B556" s="7" t="s">
        <v>480</v>
      </c>
      <c r="C556" s="14" t="s">
        <v>135</v>
      </c>
      <c r="D556" s="14" t="s">
        <v>39</v>
      </c>
      <c r="E556" s="14" t="s">
        <v>56</v>
      </c>
      <c r="F556" s="14" t="s">
        <v>50</v>
      </c>
      <c r="G556" s="14" t="s">
        <v>70</v>
      </c>
      <c r="H556" s="14">
        <v>15</v>
      </c>
      <c r="I556" s="2">
        <v>1200</v>
      </c>
      <c r="J556" s="3">
        <v>0</v>
      </c>
      <c r="K556" s="2">
        <v>18000</v>
      </c>
      <c r="L556" s="2">
        <v>14220</v>
      </c>
      <c r="M556" s="2">
        <v>3780</v>
      </c>
      <c r="N556" s="14" t="s">
        <v>47</v>
      </c>
      <c r="O556" s="14">
        <v>5</v>
      </c>
      <c r="V556" s="2"/>
    </row>
    <row r="557" spans="1:22">
      <c r="A557">
        <v>10588</v>
      </c>
      <c r="B557" s="7" t="s">
        <v>461</v>
      </c>
      <c r="C557" s="14" t="s">
        <v>111</v>
      </c>
      <c r="D557" s="14" t="s">
        <v>36</v>
      </c>
      <c r="E557" s="14" t="s">
        <v>61</v>
      </c>
      <c r="F557" s="14" t="s">
        <v>143</v>
      </c>
      <c r="G557" s="14" t="s">
        <v>63</v>
      </c>
      <c r="H557" s="14">
        <v>6</v>
      </c>
      <c r="I557" s="2">
        <v>850</v>
      </c>
      <c r="J557" s="3">
        <v>15</v>
      </c>
      <c r="K557" s="2">
        <v>4335</v>
      </c>
      <c r="L557" s="2">
        <v>3424</v>
      </c>
      <c r="M557" s="2">
        <v>911</v>
      </c>
      <c r="N557" s="14" t="s">
        <v>47</v>
      </c>
      <c r="O557" s="14">
        <v>5</v>
      </c>
      <c r="V557" s="2"/>
    </row>
    <row r="558" spans="1:22">
      <c r="A558">
        <v>10589</v>
      </c>
      <c r="B558" s="7" t="s">
        <v>431</v>
      </c>
      <c r="C558" s="14" t="s">
        <v>120</v>
      </c>
      <c r="D558" s="14" t="s">
        <v>42</v>
      </c>
      <c r="E558" s="14" t="s">
        <v>61</v>
      </c>
      <c r="F558" s="14" t="s">
        <v>52</v>
      </c>
      <c r="G558" s="14" t="s">
        <v>74</v>
      </c>
      <c r="H558" s="14">
        <v>11</v>
      </c>
      <c r="I558" s="2">
        <v>710</v>
      </c>
      <c r="J558" s="3">
        <v>15</v>
      </c>
      <c r="K558" s="2">
        <v>6638.5</v>
      </c>
      <c r="L558" s="2">
        <v>4846</v>
      </c>
      <c r="M558" s="2">
        <v>1792.5</v>
      </c>
      <c r="N558" s="14" t="s">
        <v>47</v>
      </c>
      <c r="O558" s="14">
        <v>3</v>
      </c>
      <c r="V558" s="2"/>
    </row>
    <row r="559" spans="1:22">
      <c r="A559">
        <v>10590</v>
      </c>
      <c r="B559" s="7" t="s">
        <v>444</v>
      </c>
      <c r="C559" s="14" t="s">
        <v>147</v>
      </c>
      <c r="D559" s="14" t="s">
        <v>39</v>
      </c>
      <c r="E559" s="14" t="s">
        <v>58</v>
      </c>
      <c r="F559" s="14" t="s">
        <v>55</v>
      </c>
      <c r="G559" s="14" t="s">
        <v>72</v>
      </c>
      <c r="H559" s="14">
        <v>8</v>
      </c>
      <c r="I559" s="2">
        <v>1640</v>
      </c>
      <c r="J559" s="3">
        <v>10</v>
      </c>
      <c r="K559" s="2">
        <v>11808</v>
      </c>
      <c r="L559" s="2">
        <v>8383</v>
      </c>
      <c r="M559" s="2">
        <v>3425</v>
      </c>
      <c r="N559" s="14" t="s">
        <v>38</v>
      </c>
      <c r="O559" s="14">
        <v>5</v>
      </c>
      <c r="V559" s="2"/>
    </row>
    <row r="560" spans="1:22">
      <c r="A560">
        <v>10591</v>
      </c>
      <c r="B560" s="7" t="s">
        <v>481</v>
      </c>
      <c r="C560" s="14" t="s">
        <v>141</v>
      </c>
      <c r="D560" s="14" t="s">
        <v>45</v>
      </c>
      <c r="E560" s="14" t="s">
        <v>61</v>
      </c>
      <c r="F560" s="14" t="s">
        <v>143</v>
      </c>
      <c r="G560" s="14" t="s">
        <v>64</v>
      </c>
      <c r="H560" s="14">
        <v>9</v>
      </c>
      <c r="I560" s="2">
        <v>610</v>
      </c>
      <c r="J560" s="3">
        <v>20</v>
      </c>
      <c r="K560" s="2">
        <v>4392</v>
      </c>
      <c r="L560" s="2">
        <v>3337</v>
      </c>
      <c r="M560" s="2">
        <v>1055</v>
      </c>
      <c r="N560" s="14" t="s">
        <v>38</v>
      </c>
      <c r="O560" s="14">
        <v>1</v>
      </c>
      <c r="V560" s="2"/>
    </row>
    <row r="561" spans="1:22">
      <c r="A561">
        <v>10592</v>
      </c>
      <c r="B561" s="7" t="s">
        <v>124</v>
      </c>
      <c r="C561" s="14" t="s">
        <v>130</v>
      </c>
      <c r="D561" s="14" t="s">
        <v>36</v>
      </c>
      <c r="E561" s="14" t="s">
        <v>56</v>
      </c>
      <c r="F561" s="14" t="s">
        <v>150</v>
      </c>
      <c r="G561" s="14" t="s">
        <v>63</v>
      </c>
      <c r="H561" s="14">
        <v>1</v>
      </c>
      <c r="I561" s="2">
        <v>450</v>
      </c>
      <c r="J561" s="3">
        <v>20</v>
      </c>
      <c r="K561" s="2">
        <v>360</v>
      </c>
      <c r="L561" s="2">
        <v>223</v>
      </c>
      <c r="M561" s="2">
        <v>137</v>
      </c>
      <c r="N561" s="14" t="s">
        <v>41</v>
      </c>
      <c r="O561" s="14">
        <v>2</v>
      </c>
      <c r="V561" s="2"/>
    </row>
    <row r="562" spans="1:22">
      <c r="A562">
        <v>10593</v>
      </c>
      <c r="B562" s="7" t="s">
        <v>336</v>
      </c>
      <c r="C562" s="14" t="s">
        <v>137</v>
      </c>
      <c r="D562" s="14" t="s">
        <v>42</v>
      </c>
      <c r="E562" s="14" t="s">
        <v>56</v>
      </c>
      <c r="F562" s="14" t="s">
        <v>131</v>
      </c>
      <c r="G562" s="14" t="s">
        <v>63</v>
      </c>
      <c r="H562" s="14">
        <v>15</v>
      </c>
      <c r="I562" s="2">
        <v>740</v>
      </c>
      <c r="J562" s="3">
        <v>20</v>
      </c>
      <c r="K562" s="2">
        <v>8880</v>
      </c>
      <c r="L562" s="2">
        <v>6571</v>
      </c>
      <c r="M562" s="2">
        <v>2309</v>
      </c>
      <c r="N562" s="14" t="s">
        <v>38</v>
      </c>
      <c r="O562" s="14">
        <v>5</v>
      </c>
      <c r="V562" s="2"/>
    </row>
    <row r="563" spans="1:22">
      <c r="A563">
        <v>10594</v>
      </c>
      <c r="B563" s="7" t="s">
        <v>482</v>
      </c>
      <c r="C563" s="14" t="s">
        <v>120</v>
      </c>
      <c r="D563" s="14" t="s">
        <v>42</v>
      </c>
      <c r="E563" s="14" t="s">
        <v>56</v>
      </c>
      <c r="F563" s="14" t="s">
        <v>50</v>
      </c>
      <c r="G563" s="14" t="s">
        <v>64</v>
      </c>
      <c r="H563" s="14">
        <v>15</v>
      </c>
      <c r="I563" s="2">
        <v>920</v>
      </c>
      <c r="J563" s="3">
        <v>0</v>
      </c>
      <c r="K563" s="2">
        <v>13800</v>
      </c>
      <c r="L563" s="2">
        <v>7590</v>
      </c>
      <c r="M563" s="2">
        <v>6210</v>
      </c>
      <c r="N563" s="14" t="s">
        <v>44</v>
      </c>
      <c r="O563" s="14">
        <v>1</v>
      </c>
      <c r="V563" s="2"/>
    </row>
    <row r="564" spans="1:22">
      <c r="A564">
        <v>10595</v>
      </c>
      <c r="B564" s="7" t="s">
        <v>350</v>
      </c>
      <c r="C564" s="14" t="s">
        <v>128</v>
      </c>
      <c r="D564" s="14" t="s">
        <v>39</v>
      </c>
      <c r="E564" s="14" t="s">
        <v>56</v>
      </c>
      <c r="F564" s="14" t="s">
        <v>131</v>
      </c>
      <c r="G564" s="14" t="s">
        <v>74</v>
      </c>
      <c r="H564" s="14">
        <v>3</v>
      </c>
      <c r="I564" s="2">
        <v>540</v>
      </c>
      <c r="J564" s="3">
        <v>10</v>
      </c>
      <c r="K564" s="2">
        <v>1458</v>
      </c>
      <c r="L564" s="2">
        <v>845</v>
      </c>
      <c r="M564" s="2">
        <v>613</v>
      </c>
      <c r="N564" s="14" t="s">
        <v>38</v>
      </c>
      <c r="O564" s="14">
        <v>3</v>
      </c>
      <c r="V564" s="2"/>
    </row>
    <row r="565" spans="1:22">
      <c r="A565">
        <v>10597</v>
      </c>
      <c r="B565" s="7" t="s">
        <v>483</v>
      </c>
      <c r="C565" s="14" t="s">
        <v>135</v>
      </c>
      <c r="D565" s="14" t="s">
        <v>39</v>
      </c>
      <c r="E565" s="14" t="s">
        <v>56</v>
      </c>
      <c r="F565" s="14" t="s">
        <v>49</v>
      </c>
      <c r="G565" s="14" t="s">
        <v>66</v>
      </c>
      <c r="H565" s="14">
        <v>5</v>
      </c>
      <c r="I565" s="2">
        <v>360</v>
      </c>
      <c r="J565" s="3">
        <v>0</v>
      </c>
      <c r="K565" s="2">
        <v>1800</v>
      </c>
      <c r="L565" s="2">
        <v>1062</v>
      </c>
      <c r="M565" s="2">
        <v>738</v>
      </c>
      <c r="N565" s="14" t="s">
        <v>44</v>
      </c>
      <c r="O565" s="14">
        <v>2</v>
      </c>
      <c r="V565" s="2"/>
    </row>
    <row r="566" spans="1:22">
      <c r="A566">
        <v>10598</v>
      </c>
      <c r="B566" s="7" t="s">
        <v>390</v>
      </c>
      <c r="C566" s="14" t="s">
        <v>120</v>
      </c>
      <c r="D566" s="14" t="s">
        <v>39</v>
      </c>
      <c r="E566" s="14" t="s">
        <v>58</v>
      </c>
      <c r="F566" s="14" t="s">
        <v>43</v>
      </c>
      <c r="G566" s="14" t="s">
        <v>64</v>
      </c>
      <c r="H566" s="14">
        <v>14</v>
      </c>
      <c r="I566" s="2">
        <v>210</v>
      </c>
      <c r="J566" s="3">
        <v>0</v>
      </c>
      <c r="K566" s="2">
        <v>2940</v>
      </c>
      <c r="L566" s="2">
        <v>2440</v>
      </c>
      <c r="M566" s="2">
        <v>500</v>
      </c>
      <c r="N566" s="14" t="s">
        <v>41</v>
      </c>
      <c r="O566" s="14">
        <v>2</v>
      </c>
      <c r="V566" s="2"/>
    </row>
    <row r="567" spans="1:22">
      <c r="A567">
        <v>10599</v>
      </c>
      <c r="B567" s="7" t="s">
        <v>458</v>
      </c>
      <c r="C567" s="14" t="s">
        <v>135</v>
      </c>
      <c r="D567" s="14" t="s">
        <v>45</v>
      </c>
      <c r="E567" s="14" t="s">
        <v>61</v>
      </c>
      <c r="F567" s="14" t="s">
        <v>117</v>
      </c>
      <c r="G567" s="14" t="s">
        <v>68</v>
      </c>
      <c r="H567" s="14">
        <v>1</v>
      </c>
      <c r="I567" s="2">
        <v>1570</v>
      </c>
      <c r="J567" s="3">
        <v>15</v>
      </c>
      <c r="K567" s="2">
        <v>1334.5</v>
      </c>
      <c r="L567" s="2">
        <v>1067</v>
      </c>
      <c r="M567" s="2">
        <v>267.5</v>
      </c>
      <c r="N567" s="14" t="s">
        <v>41</v>
      </c>
      <c r="O567" s="14">
        <v>4</v>
      </c>
      <c r="V567" s="2"/>
    </row>
    <row r="568" spans="1:22">
      <c r="A568">
        <v>10600</v>
      </c>
      <c r="B568" s="7" t="s">
        <v>484</v>
      </c>
      <c r="C568" s="14" t="s">
        <v>128</v>
      </c>
      <c r="D568" s="14" t="s">
        <v>45</v>
      </c>
      <c r="E568" s="14" t="s">
        <v>58</v>
      </c>
      <c r="F568" s="14" t="s">
        <v>43</v>
      </c>
      <c r="G568" s="14" t="s">
        <v>64</v>
      </c>
      <c r="H568" s="14">
        <v>3</v>
      </c>
      <c r="I568" s="2">
        <v>1180</v>
      </c>
      <c r="J568" s="3">
        <v>5</v>
      </c>
      <c r="K568" s="2">
        <v>3363</v>
      </c>
      <c r="L568" s="2">
        <v>2387</v>
      </c>
      <c r="M568" s="2">
        <v>976</v>
      </c>
      <c r="N568" s="14" t="s">
        <v>41</v>
      </c>
      <c r="O568" s="14">
        <v>3</v>
      </c>
      <c r="V568" s="2"/>
    </row>
    <row r="569" spans="1:22">
      <c r="A569">
        <v>10601</v>
      </c>
      <c r="B569" s="7" t="s">
        <v>417</v>
      </c>
      <c r="C569" s="14" t="s">
        <v>111</v>
      </c>
      <c r="D569" s="14" t="s">
        <v>39</v>
      </c>
      <c r="E569" s="14" t="s">
        <v>56</v>
      </c>
      <c r="F569" s="14" t="s">
        <v>50</v>
      </c>
      <c r="G569" s="14" t="s">
        <v>63</v>
      </c>
      <c r="H569" s="14">
        <v>1</v>
      </c>
      <c r="I569" s="2">
        <v>1580</v>
      </c>
      <c r="J569" s="3">
        <v>0</v>
      </c>
      <c r="K569" s="2">
        <v>1580</v>
      </c>
      <c r="L569" s="2">
        <v>1279</v>
      </c>
      <c r="M569" s="2">
        <v>301</v>
      </c>
      <c r="N569" s="14" t="s">
        <v>38</v>
      </c>
      <c r="O569" s="14">
        <v>4</v>
      </c>
      <c r="V569" s="2"/>
    </row>
    <row r="570" spans="1:22">
      <c r="A570">
        <v>10602</v>
      </c>
      <c r="B570" s="7" t="s">
        <v>485</v>
      </c>
      <c r="C570" s="14" t="s">
        <v>130</v>
      </c>
      <c r="D570" s="14" t="s">
        <v>36</v>
      </c>
      <c r="E570" s="14" t="s">
        <v>58</v>
      </c>
      <c r="F570" s="14" t="s">
        <v>37</v>
      </c>
      <c r="G570" s="14" t="s">
        <v>70</v>
      </c>
      <c r="H570" s="14">
        <v>10</v>
      </c>
      <c r="I570" s="2">
        <v>1390</v>
      </c>
      <c r="J570" s="3">
        <v>10</v>
      </c>
      <c r="K570" s="2">
        <v>12510</v>
      </c>
      <c r="L570" s="2">
        <v>9257</v>
      </c>
      <c r="M570" s="2">
        <v>3253</v>
      </c>
      <c r="N570" s="14" t="s">
        <v>44</v>
      </c>
      <c r="O570" s="14">
        <v>2</v>
      </c>
      <c r="V570" s="2"/>
    </row>
    <row r="571" spans="1:22">
      <c r="A571">
        <v>10603</v>
      </c>
      <c r="B571" s="7" t="s">
        <v>228</v>
      </c>
      <c r="C571" s="14" t="s">
        <v>137</v>
      </c>
      <c r="D571" s="14" t="s">
        <v>42</v>
      </c>
      <c r="E571" s="14" t="s">
        <v>56</v>
      </c>
      <c r="F571" s="14" t="s">
        <v>150</v>
      </c>
      <c r="G571" s="14" t="s">
        <v>70</v>
      </c>
      <c r="H571" s="14">
        <v>1</v>
      </c>
      <c r="I571" s="2">
        <v>590</v>
      </c>
      <c r="J571" s="3">
        <v>0</v>
      </c>
      <c r="K571" s="2">
        <v>590</v>
      </c>
      <c r="L571" s="2">
        <v>401</v>
      </c>
      <c r="M571" s="2">
        <v>189</v>
      </c>
      <c r="N571" s="14" t="s">
        <v>47</v>
      </c>
      <c r="O571" s="14">
        <v>3</v>
      </c>
      <c r="V571" s="2"/>
    </row>
    <row r="572" spans="1:22">
      <c r="A572">
        <v>10604</v>
      </c>
      <c r="B572" s="7" t="s">
        <v>486</v>
      </c>
      <c r="C572" s="14" t="s">
        <v>147</v>
      </c>
      <c r="D572" s="14" t="s">
        <v>45</v>
      </c>
      <c r="E572" s="14" t="s">
        <v>58</v>
      </c>
      <c r="F572" s="14" t="s">
        <v>40</v>
      </c>
      <c r="G572" s="14" t="s">
        <v>70</v>
      </c>
      <c r="H572" s="14">
        <v>14</v>
      </c>
      <c r="I572" s="2">
        <v>700</v>
      </c>
      <c r="J572" s="3">
        <v>20</v>
      </c>
      <c r="K572" s="2">
        <v>7840</v>
      </c>
      <c r="L572" s="2">
        <v>5801</v>
      </c>
      <c r="M572" s="2">
        <v>2039</v>
      </c>
      <c r="N572" s="14" t="s">
        <v>47</v>
      </c>
      <c r="O572" s="14">
        <v>1</v>
      </c>
      <c r="V572" s="2"/>
    </row>
    <row r="573" spans="1:22">
      <c r="A573">
        <v>10605</v>
      </c>
      <c r="B573" s="7" t="s">
        <v>192</v>
      </c>
      <c r="C573" s="14" t="s">
        <v>147</v>
      </c>
      <c r="D573" s="14" t="s">
        <v>42</v>
      </c>
      <c r="E573" s="14" t="s">
        <v>61</v>
      </c>
      <c r="F573" s="14" t="s">
        <v>117</v>
      </c>
      <c r="G573" s="14" t="s">
        <v>63</v>
      </c>
      <c r="H573" s="14">
        <v>8</v>
      </c>
      <c r="I573" s="2">
        <v>1510</v>
      </c>
      <c r="J573" s="3">
        <v>15</v>
      </c>
      <c r="K573" s="2">
        <v>10268</v>
      </c>
      <c r="L573" s="2">
        <v>6982</v>
      </c>
      <c r="M573" s="2">
        <v>3286</v>
      </c>
      <c r="N573" s="14" t="s">
        <v>44</v>
      </c>
      <c r="O573" s="14">
        <v>1</v>
      </c>
      <c r="V573" s="2"/>
    </row>
    <row r="574" spans="1:22">
      <c r="A574">
        <v>10606</v>
      </c>
      <c r="B574" s="7" t="s">
        <v>289</v>
      </c>
      <c r="C574" s="14" t="s">
        <v>128</v>
      </c>
      <c r="D574" s="14" t="s">
        <v>39</v>
      </c>
      <c r="E574" s="14" t="s">
        <v>56</v>
      </c>
      <c r="F574" s="14" t="s">
        <v>150</v>
      </c>
      <c r="G574" s="14" t="s">
        <v>66</v>
      </c>
      <c r="H574" s="14">
        <v>13</v>
      </c>
      <c r="I574" s="2">
        <v>570</v>
      </c>
      <c r="J574" s="3">
        <v>10</v>
      </c>
      <c r="K574" s="2">
        <v>6669</v>
      </c>
      <c r="L574" s="2">
        <v>4668</v>
      </c>
      <c r="M574" s="2">
        <v>2001</v>
      </c>
      <c r="N574" s="14" t="s">
        <v>41</v>
      </c>
      <c r="O574" s="14">
        <v>4</v>
      </c>
      <c r="V574" s="2"/>
    </row>
    <row r="575" spans="1:22">
      <c r="A575">
        <v>10607</v>
      </c>
      <c r="B575" s="7" t="s">
        <v>329</v>
      </c>
      <c r="C575" s="14" t="s">
        <v>116</v>
      </c>
      <c r="D575" s="14" t="s">
        <v>42</v>
      </c>
      <c r="E575" s="14" t="s">
        <v>56</v>
      </c>
      <c r="F575" s="14" t="s">
        <v>131</v>
      </c>
      <c r="G575" s="14" t="s">
        <v>72</v>
      </c>
      <c r="H575" s="14">
        <v>6</v>
      </c>
      <c r="I575" s="2">
        <v>1860</v>
      </c>
      <c r="J575" s="3">
        <v>5</v>
      </c>
      <c r="K575" s="2">
        <v>10602</v>
      </c>
      <c r="L575" s="2">
        <v>8269</v>
      </c>
      <c r="M575" s="2">
        <v>2333</v>
      </c>
      <c r="N575" s="14" t="s">
        <v>44</v>
      </c>
      <c r="O575" s="14">
        <v>1</v>
      </c>
      <c r="V575" s="2"/>
    </row>
    <row r="576" spans="1:22">
      <c r="A576">
        <v>10608</v>
      </c>
      <c r="B576" s="7" t="s">
        <v>299</v>
      </c>
      <c r="C576" s="14" t="s">
        <v>147</v>
      </c>
      <c r="D576" s="14" t="s">
        <v>45</v>
      </c>
      <c r="E576" s="14" t="s">
        <v>61</v>
      </c>
      <c r="F576" s="14" t="s">
        <v>52</v>
      </c>
      <c r="G576" s="14" t="s">
        <v>63</v>
      </c>
      <c r="H576" s="14">
        <v>10</v>
      </c>
      <c r="I576" s="2">
        <v>870</v>
      </c>
      <c r="J576" s="3">
        <v>10</v>
      </c>
      <c r="K576" s="2">
        <v>7830</v>
      </c>
      <c r="L576" s="2">
        <v>6420</v>
      </c>
      <c r="M576" s="2">
        <v>1410</v>
      </c>
      <c r="N576" s="14" t="s">
        <v>38</v>
      </c>
      <c r="O576" s="14">
        <v>4</v>
      </c>
      <c r="V576" s="2"/>
    </row>
    <row r="577" spans="1:22">
      <c r="A577">
        <v>10609</v>
      </c>
      <c r="B577" s="7" t="s">
        <v>487</v>
      </c>
      <c r="C577" s="14" t="s">
        <v>111</v>
      </c>
      <c r="D577" s="14" t="s">
        <v>45</v>
      </c>
      <c r="E577" s="14" t="s">
        <v>58</v>
      </c>
      <c r="F577" s="14" t="s">
        <v>43</v>
      </c>
      <c r="G577" s="14" t="s">
        <v>64</v>
      </c>
      <c r="H577" s="14">
        <v>3</v>
      </c>
      <c r="I577" s="2">
        <v>660</v>
      </c>
      <c r="J577" s="3">
        <v>15</v>
      </c>
      <c r="K577" s="2">
        <v>1683</v>
      </c>
      <c r="L577" s="2">
        <v>1009</v>
      </c>
      <c r="M577" s="2">
        <v>674</v>
      </c>
      <c r="N577" s="14" t="s">
        <v>38</v>
      </c>
      <c r="O577" s="14">
        <v>1</v>
      </c>
      <c r="V577" s="2"/>
    </row>
    <row r="578" spans="1:22">
      <c r="A578">
        <v>10610</v>
      </c>
      <c r="B578" s="7" t="s">
        <v>488</v>
      </c>
      <c r="C578" s="14" t="s">
        <v>141</v>
      </c>
      <c r="D578" s="14" t="s">
        <v>36</v>
      </c>
      <c r="E578" s="14" t="s">
        <v>61</v>
      </c>
      <c r="F578" s="14" t="s">
        <v>143</v>
      </c>
      <c r="G578" s="14" t="s">
        <v>64</v>
      </c>
      <c r="H578" s="14">
        <v>10</v>
      </c>
      <c r="I578" s="2">
        <v>660</v>
      </c>
      <c r="J578" s="3">
        <v>10</v>
      </c>
      <c r="K578" s="2">
        <v>5940</v>
      </c>
      <c r="L578" s="2">
        <v>4336</v>
      </c>
      <c r="M578" s="2">
        <v>1604</v>
      </c>
      <c r="N578" s="14" t="s">
        <v>38</v>
      </c>
      <c r="O578" s="14">
        <v>1</v>
      </c>
      <c r="V578" s="2"/>
    </row>
    <row r="579" spans="1:22">
      <c r="A579">
        <v>10611</v>
      </c>
      <c r="B579" s="7" t="s">
        <v>489</v>
      </c>
      <c r="C579" s="14" t="s">
        <v>135</v>
      </c>
      <c r="D579" s="14" t="s">
        <v>36</v>
      </c>
      <c r="E579" s="14" t="s">
        <v>61</v>
      </c>
      <c r="F579" s="14" t="s">
        <v>46</v>
      </c>
      <c r="G579" s="14" t="s">
        <v>66</v>
      </c>
      <c r="H579" s="14">
        <v>1</v>
      </c>
      <c r="I579" s="2">
        <v>1940</v>
      </c>
      <c r="J579" s="3">
        <v>5</v>
      </c>
      <c r="K579" s="2">
        <v>1843</v>
      </c>
      <c r="L579" s="2">
        <v>1474</v>
      </c>
      <c r="M579" s="2">
        <v>369</v>
      </c>
      <c r="N579" s="14" t="s">
        <v>41</v>
      </c>
      <c r="O579" s="14">
        <v>1</v>
      </c>
      <c r="V579" s="2"/>
    </row>
    <row r="580" spans="1:22">
      <c r="A580">
        <v>10612</v>
      </c>
      <c r="B580" s="7" t="s">
        <v>159</v>
      </c>
      <c r="C580" s="14" t="s">
        <v>116</v>
      </c>
      <c r="D580" s="14" t="s">
        <v>36</v>
      </c>
      <c r="E580" s="14" t="s">
        <v>61</v>
      </c>
      <c r="F580" s="14" t="s">
        <v>46</v>
      </c>
      <c r="G580" s="14" t="s">
        <v>66</v>
      </c>
      <c r="H580" s="14">
        <v>4</v>
      </c>
      <c r="I580" s="2">
        <v>210</v>
      </c>
      <c r="J580" s="3">
        <v>0</v>
      </c>
      <c r="K580" s="2">
        <v>840</v>
      </c>
      <c r="L580" s="2">
        <v>520</v>
      </c>
      <c r="M580" s="2">
        <v>320</v>
      </c>
      <c r="N580" s="14" t="s">
        <v>41</v>
      </c>
      <c r="O580" s="14">
        <v>3</v>
      </c>
      <c r="V580" s="2"/>
    </row>
    <row r="581" spans="1:22">
      <c r="A581">
        <v>10613</v>
      </c>
      <c r="B581" s="7" t="s">
        <v>480</v>
      </c>
      <c r="C581" s="14" t="s">
        <v>141</v>
      </c>
      <c r="D581" s="14" t="s">
        <v>42</v>
      </c>
      <c r="E581" s="14" t="s">
        <v>61</v>
      </c>
      <c r="F581" s="14" t="s">
        <v>52</v>
      </c>
      <c r="G581" s="14" t="s">
        <v>64</v>
      </c>
      <c r="H581" s="14">
        <v>15</v>
      </c>
      <c r="I581" s="2">
        <v>1250</v>
      </c>
      <c r="J581" s="3">
        <v>20</v>
      </c>
      <c r="K581" s="2">
        <v>15000</v>
      </c>
      <c r="L581" s="2">
        <v>8700</v>
      </c>
      <c r="M581" s="2">
        <v>6300</v>
      </c>
      <c r="N581" s="14" t="s">
        <v>41</v>
      </c>
      <c r="O581" s="14">
        <v>3</v>
      </c>
      <c r="V581" s="2"/>
    </row>
    <row r="582" spans="1:22">
      <c r="A582">
        <v>10614</v>
      </c>
      <c r="B582" s="7" t="s">
        <v>471</v>
      </c>
      <c r="C582" s="14" t="s">
        <v>147</v>
      </c>
      <c r="D582" s="14" t="s">
        <v>42</v>
      </c>
      <c r="E582" s="14" t="s">
        <v>56</v>
      </c>
      <c r="F582" s="14" t="s">
        <v>50</v>
      </c>
      <c r="G582" s="14" t="s">
        <v>74</v>
      </c>
      <c r="H582" s="14">
        <v>8</v>
      </c>
      <c r="I582" s="2">
        <v>570</v>
      </c>
      <c r="J582" s="3">
        <v>15</v>
      </c>
      <c r="K582" s="2">
        <v>3876</v>
      </c>
      <c r="L582" s="2">
        <v>2403</v>
      </c>
      <c r="M582" s="2">
        <v>1473</v>
      </c>
      <c r="N582" s="14" t="s">
        <v>44</v>
      </c>
      <c r="O582" s="14">
        <v>4</v>
      </c>
      <c r="V582" s="2"/>
    </row>
    <row r="583" spans="1:22">
      <c r="A583">
        <v>10615</v>
      </c>
      <c r="B583" s="7" t="s">
        <v>324</v>
      </c>
      <c r="C583" s="14" t="s">
        <v>141</v>
      </c>
      <c r="D583" s="14" t="s">
        <v>39</v>
      </c>
      <c r="E583" s="14" t="s">
        <v>56</v>
      </c>
      <c r="F583" s="14" t="s">
        <v>57</v>
      </c>
      <c r="G583" s="14" t="s">
        <v>63</v>
      </c>
      <c r="H583" s="14">
        <v>3</v>
      </c>
      <c r="I583" s="2">
        <v>1610</v>
      </c>
      <c r="J583" s="3">
        <v>10</v>
      </c>
      <c r="K583" s="2">
        <v>4347</v>
      </c>
      <c r="L583" s="2">
        <v>2738</v>
      </c>
      <c r="M583" s="2">
        <v>1609</v>
      </c>
      <c r="N583" s="14" t="s">
        <v>41</v>
      </c>
      <c r="O583" s="14">
        <v>3</v>
      </c>
      <c r="V583" s="2"/>
    </row>
    <row r="584" spans="1:22">
      <c r="A584">
        <v>10616</v>
      </c>
      <c r="B584" s="7" t="s">
        <v>490</v>
      </c>
      <c r="C584" s="14" t="s">
        <v>111</v>
      </c>
      <c r="D584" s="14" t="s">
        <v>39</v>
      </c>
      <c r="E584" s="14" t="s">
        <v>56</v>
      </c>
      <c r="F584" s="14" t="s">
        <v>50</v>
      </c>
      <c r="G584" s="14" t="s">
        <v>64</v>
      </c>
      <c r="H584" s="14">
        <v>4</v>
      </c>
      <c r="I584" s="2">
        <v>670</v>
      </c>
      <c r="J584" s="3">
        <v>15</v>
      </c>
      <c r="K584" s="2">
        <v>2278</v>
      </c>
      <c r="L584" s="2">
        <v>1708</v>
      </c>
      <c r="M584" s="2">
        <v>570</v>
      </c>
      <c r="N584" s="14" t="s">
        <v>47</v>
      </c>
      <c r="O584" s="14">
        <v>4</v>
      </c>
      <c r="V584" s="2"/>
    </row>
    <row r="585" spans="1:22">
      <c r="A585">
        <v>10617</v>
      </c>
      <c r="B585" s="7" t="s">
        <v>371</v>
      </c>
      <c r="C585" s="14" t="s">
        <v>147</v>
      </c>
      <c r="D585" s="14" t="s">
        <v>36</v>
      </c>
      <c r="E585" s="14" t="s">
        <v>58</v>
      </c>
      <c r="F585" s="14" t="s">
        <v>40</v>
      </c>
      <c r="G585" s="14" t="s">
        <v>66</v>
      </c>
      <c r="H585" s="14">
        <v>12</v>
      </c>
      <c r="I585" s="2">
        <v>710</v>
      </c>
      <c r="J585" s="3">
        <v>5</v>
      </c>
      <c r="K585" s="2">
        <v>8094</v>
      </c>
      <c r="L585" s="2">
        <v>5180</v>
      </c>
      <c r="M585" s="2">
        <v>2914</v>
      </c>
      <c r="N585" s="14" t="s">
        <v>47</v>
      </c>
      <c r="O585" s="14">
        <v>1</v>
      </c>
      <c r="V585" s="2"/>
    </row>
    <row r="586" spans="1:22">
      <c r="A586">
        <v>10619</v>
      </c>
      <c r="B586" s="7" t="s">
        <v>374</v>
      </c>
      <c r="C586" s="14" t="s">
        <v>137</v>
      </c>
      <c r="D586" s="14" t="s">
        <v>42</v>
      </c>
      <c r="E586" s="14" t="s">
        <v>56</v>
      </c>
      <c r="F586" s="14" t="s">
        <v>57</v>
      </c>
      <c r="G586" s="14" t="s">
        <v>66</v>
      </c>
      <c r="H586" s="14">
        <v>1</v>
      </c>
      <c r="I586" s="2">
        <v>1440</v>
      </c>
      <c r="J586" s="3">
        <v>5</v>
      </c>
      <c r="K586" s="2">
        <v>1368</v>
      </c>
      <c r="L586" s="2">
        <v>943</v>
      </c>
      <c r="M586" s="2">
        <v>425</v>
      </c>
      <c r="N586" s="14" t="s">
        <v>41</v>
      </c>
      <c r="O586" s="14">
        <v>1</v>
      </c>
      <c r="V586" s="2"/>
    </row>
    <row r="587" spans="1:22">
      <c r="A587">
        <v>10621</v>
      </c>
      <c r="B587" s="7" t="s">
        <v>378</v>
      </c>
      <c r="C587" s="14" t="s">
        <v>141</v>
      </c>
      <c r="D587" s="14" t="s">
        <v>45</v>
      </c>
      <c r="E587" s="14" t="s">
        <v>58</v>
      </c>
      <c r="F587" s="14" t="s">
        <v>37</v>
      </c>
      <c r="G587" s="14" t="s">
        <v>70</v>
      </c>
      <c r="H587" s="14">
        <v>3</v>
      </c>
      <c r="I587" s="2">
        <v>900</v>
      </c>
      <c r="J587" s="3">
        <v>20</v>
      </c>
      <c r="K587" s="2">
        <v>2160</v>
      </c>
      <c r="L587" s="2">
        <v>1620</v>
      </c>
      <c r="M587" s="2">
        <v>540</v>
      </c>
      <c r="N587" s="14" t="s">
        <v>41</v>
      </c>
      <c r="O587" s="14">
        <v>4</v>
      </c>
      <c r="V587" s="2"/>
    </row>
    <row r="588" spans="1:22">
      <c r="A588">
        <v>10622</v>
      </c>
      <c r="B588" s="7" t="s">
        <v>159</v>
      </c>
      <c r="C588" s="14" t="s">
        <v>128</v>
      </c>
      <c r="D588" s="14" t="s">
        <v>45</v>
      </c>
      <c r="E588" s="14" t="s">
        <v>56</v>
      </c>
      <c r="F588" s="14" t="s">
        <v>150</v>
      </c>
      <c r="G588" s="14" t="s">
        <v>74</v>
      </c>
      <c r="H588" s="14">
        <v>3</v>
      </c>
      <c r="I588" s="2">
        <v>1430</v>
      </c>
      <c r="J588" s="3">
        <v>5</v>
      </c>
      <c r="K588" s="2">
        <v>4075.5</v>
      </c>
      <c r="L588" s="2">
        <v>3423</v>
      </c>
      <c r="M588" s="2">
        <v>652.5</v>
      </c>
      <c r="N588" s="14" t="s">
        <v>47</v>
      </c>
      <c r="O588" s="14">
        <v>3</v>
      </c>
      <c r="V588" s="2"/>
    </row>
    <row r="589" spans="1:22">
      <c r="A589">
        <v>10623</v>
      </c>
      <c r="B589" s="7" t="s">
        <v>491</v>
      </c>
      <c r="C589" s="14" t="s">
        <v>125</v>
      </c>
      <c r="D589" s="14" t="s">
        <v>39</v>
      </c>
      <c r="E589" s="14" t="s">
        <v>56</v>
      </c>
      <c r="F589" s="14" t="s">
        <v>57</v>
      </c>
      <c r="G589" s="14" t="s">
        <v>68</v>
      </c>
      <c r="H589" s="14">
        <v>6</v>
      </c>
      <c r="I589" s="2">
        <v>1030</v>
      </c>
      <c r="J589" s="3">
        <v>10</v>
      </c>
      <c r="K589" s="2">
        <v>5562</v>
      </c>
      <c r="L589" s="2">
        <v>4115</v>
      </c>
      <c r="M589" s="2">
        <v>1447</v>
      </c>
      <c r="N589" s="14" t="s">
        <v>47</v>
      </c>
      <c r="O589" s="14">
        <v>2</v>
      </c>
      <c r="V589" s="2"/>
    </row>
    <row r="590" spans="1:22">
      <c r="A590">
        <v>10624</v>
      </c>
      <c r="B590" s="7" t="s">
        <v>492</v>
      </c>
      <c r="C590" s="14" t="s">
        <v>135</v>
      </c>
      <c r="D590" s="14" t="s">
        <v>45</v>
      </c>
      <c r="E590" s="14" t="s">
        <v>61</v>
      </c>
      <c r="F590" s="14" t="s">
        <v>51</v>
      </c>
      <c r="G590" s="14" t="s">
        <v>70</v>
      </c>
      <c r="H590" s="14">
        <v>11</v>
      </c>
      <c r="I590" s="2">
        <v>940</v>
      </c>
      <c r="J590" s="3">
        <v>10</v>
      </c>
      <c r="K590" s="2">
        <v>9306</v>
      </c>
      <c r="L590" s="2">
        <v>7444</v>
      </c>
      <c r="M590" s="2">
        <v>1862</v>
      </c>
      <c r="N590" s="14" t="s">
        <v>38</v>
      </c>
      <c r="O590" s="14">
        <v>1</v>
      </c>
      <c r="V590" s="2"/>
    </row>
    <row r="591" spans="1:22">
      <c r="A591">
        <v>10625</v>
      </c>
      <c r="B591" s="7" t="s">
        <v>493</v>
      </c>
      <c r="C591" s="14" t="s">
        <v>130</v>
      </c>
      <c r="D591" s="14" t="s">
        <v>36</v>
      </c>
      <c r="E591" s="14" t="s">
        <v>61</v>
      </c>
      <c r="F591" s="14" t="s">
        <v>52</v>
      </c>
      <c r="G591" s="14" t="s">
        <v>74</v>
      </c>
      <c r="H591" s="14">
        <v>2</v>
      </c>
      <c r="I591" s="2">
        <v>810</v>
      </c>
      <c r="J591" s="3">
        <v>0</v>
      </c>
      <c r="K591" s="2">
        <v>1620</v>
      </c>
      <c r="L591" s="2">
        <v>1247</v>
      </c>
      <c r="M591" s="2">
        <v>373</v>
      </c>
      <c r="N591" s="14" t="s">
        <v>44</v>
      </c>
      <c r="O591" s="14">
        <v>5</v>
      </c>
      <c r="V591" s="2"/>
    </row>
    <row r="592" spans="1:22">
      <c r="A592">
        <v>10626</v>
      </c>
      <c r="B592" s="7" t="s">
        <v>278</v>
      </c>
      <c r="C592" s="14" t="s">
        <v>128</v>
      </c>
      <c r="D592" s="14" t="s">
        <v>36</v>
      </c>
      <c r="E592" s="14" t="s">
        <v>56</v>
      </c>
      <c r="F592" s="14" t="s">
        <v>49</v>
      </c>
      <c r="G592" s="14" t="s">
        <v>72</v>
      </c>
      <c r="H592" s="14">
        <v>9</v>
      </c>
      <c r="I592" s="2">
        <v>1560</v>
      </c>
      <c r="J592" s="3">
        <v>5</v>
      </c>
      <c r="K592" s="2">
        <v>13338</v>
      </c>
      <c r="L592" s="2">
        <v>8803</v>
      </c>
      <c r="M592" s="2">
        <v>4535</v>
      </c>
      <c r="N592" s="14" t="s">
        <v>44</v>
      </c>
      <c r="O592" s="14">
        <v>5</v>
      </c>
      <c r="V592" s="2"/>
    </row>
    <row r="593" spans="1:22">
      <c r="A593">
        <v>10627</v>
      </c>
      <c r="B593" s="7" t="s">
        <v>494</v>
      </c>
      <c r="C593" s="14" t="s">
        <v>135</v>
      </c>
      <c r="D593" s="14" t="s">
        <v>45</v>
      </c>
      <c r="E593" s="14" t="s">
        <v>61</v>
      </c>
      <c r="F593" s="14" t="s">
        <v>117</v>
      </c>
      <c r="G593" s="14" t="s">
        <v>63</v>
      </c>
      <c r="H593" s="14">
        <v>10</v>
      </c>
      <c r="I593" s="2">
        <v>1550</v>
      </c>
      <c r="J593" s="3">
        <v>0</v>
      </c>
      <c r="K593" s="2">
        <v>15500</v>
      </c>
      <c r="L593" s="2">
        <v>13020</v>
      </c>
      <c r="M593" s="2">
        <v>2480</v>
      </c>
      <c r="N593" s="14" t="s">
        <v>47</v>
      </c>
      <c r="O593" s="14">
        <v>4</v>
      </c>
      <c r="V593" s="2"/>
    </row>
    <row r="594" spans="1:22">
      <c r="A594">
        <v>10628</v>
      </c>
      <c r="B594" s="7" t="s">
        <v>352</v>
      </c>
      <c r="C594" s="14" t="s">
        <v>120</v>
      </c>
      <c r="D594" s="14" t="s">
        <v>45</v>
      </c>
      <c r="E594" s="14" t="s">
        <v>56</v>
      </c>
      <c r="F594" s="14" t="s">
        <v>50</v>
      </c>
      <c r="G594" s="14" t="s">
        <v>63</v>
      </c>
      <c r="H594" s="14">
        <v>10</v>
      </c>
      <c r="I594" s="2">
        <v>1020</v>
      </c>
      <c r="J594" s="3">
        <v>15</v>
      </c>
      <c r="K594" s="2">
        <v>8670</v>
      </c>
      <c r="L594" s="2">
        <v>6155</v>
      </c>
      <c r="M594" s="2">
        <v>2515</v>
      </c>
      <c r="N594" s="14" t="s">
        <v>47</v>
      </c>
      <c r="O594" s="14">
        <v>2</v>
      </c>
      <c r="V594" s="2"/>
    </row>
    <row r="595" spans="1:22">
      <c r="A595">
        <v>10629</v>
      </c>
      <c r="B595" s="7" t="s">
        <v>495</v>
      </c>
      <c r="C595" s="14" t="s">
        <v>111</v>
      </c>
      <c r="D595" s="14" t="s">
        <v>36</v>
      </c>
      <c r="E595" s="14" t="s">
        <v>56</v>
      </c>
      <c r="F595" s="14" t="s">
        <v>131</v>
      </c>
      <c r="G595" s="14" t="s">
        <v>63</v>
      </c>
      <c r="H595" s="14">
        <v>5</v>
      </c>
      <c r="I595" s="2">
        <v>530</v>
      </c>
      <c r="J595" s="3">
        <v>10</v>
      </c>
      <c r="K595" s="2">
        <v>2385</v>
      </c>
      <c r="L595" s="2">
        <v>1693</v>
      </c>
      <c r="M595" s="2">
        <v>692</v>
      </c>
      <c r="N595" s="14" t="s">
        <v>41</v>
      </c>
      <c r="O595" s="14">
        <v>3</v>
      </c>
      <c r="V595" s="2"/>
    </row>
    <row r="596" spans="1:22">
      <c r="A596">
        <v>10630</v>
      </c>
      <c r="B596" s="7" t="s">
        <v>496</v>
      </c>
      <c r="C596" s="14" t="s">
        <v>111</v>
      </c>
      <c r="D596" s="14" t="s">
        <v>39</v>
      </c>
      <c r="E596" s="14" t="s">
        <v>61</v>
      </c>
      <c r="F596" s="14" t="s">
        <v>117</v>
      </c>
      <c r="G596" s="14" t="s">
        <v>66</v>
      </c>
      <c r="H596" s="14">
        <v>7</v>
      </c>
      <c r="I596" s="2">
        <v>1710</v>
      </c>
      <c r="J596" s="3">
        <v>20</v>
      </c>
      <c r="K596" s="2">
        <v>9576</v>
      </c>
      <c r="L596" s="2">
        <v>7565</v>
      </c>
      <c r="M596" s="2">
        <v>2011</v>
      </c>
      <c r="N596" s="14" t="s">
        <v>38</v>
      </c>
      <c r="O596" s="14">
        <v>1</v>
      </c>
      <c r="V596" s="2"/>
    </row>
    <row r="597" spans="1:22">
      <c r="A597">
        <v>10631</v>
      </c>
      <c r="B597" s="7" t="s">
        <v>389</v>
      </c>
      <c r="C597" s="14" t="s">
        <v>116</v>
      </c>
      <c r="D597" s="14" t="s">
        <v>45</v>
      </c>
      <c r="E597" s="14" t="s">
        <v>61</v>
      </c>
      <c r="F597" s="14" t="s">
        <v>117</v>
      </c>
      <c r="G597" s="14" t="s">
        <v>66</v>
      </c>
      <c r="H597" s="14">
        <v>8</v>
      </c>
      <c r="I597" s="2">
        <v>350</v>
      </c>
      <c r="J597" s="3">
        <v>0</v>
      </c>
      <c r="K597" s="2">
        <v>2800</v>
      </c>
      <c r="L597" s="2">
        <v>2352</v>
      </c>
      <c r="M597" s="2">
        <v>448</v>
      </c>
      <c r="N597" s="14" t="s">
        <v>44</v>
      </c>
      <c r="O597" s="14">
        <v>2</v>
      </c>
      <c r="V597" s="2"/>
    </row>
    <row r="598" spans="1:22">
      <c r="A598">
        <v>10633</v>
      </c>
      <c r="B598" s="7" t="s">
        <v>246</v>
      </c>
      <c r="C598" s="14" t="s">
        <v>116</v>
      </c>
      <c r="D598" s="14" t="s">
        <v>45</v>
      </c>
      <c r="E598" s="14" t="s">
        <v>61</v>
      </c>
      <c r="F598" s="14" t="s">
        <v>51</v>
      </c>
      <c r="G598" s="14" t="s">
        <v>72</v>
      </c>
      <c r="H598" s="14">
        <v>9</v>
      </c>
      <c r="I598" s="2">
        <v>240</v>
      </c>
      <c r="J598" s="3">
        <v>15</v>
      </c>
      <c r="K598" s="2">
        <v>1836</v>
      </c>
      <c r="L598" s="2">
        <v>1211</v>
      </c>
      <c r="M598" s="2">
        <v>625</v>
      </c>
      <c r="N598" s="14" t="s">
        <v>47</v>
      </c>
      <c r="O598" s="14">
        <v>4</v>
      </c>
      <c r="V598" s="2"/>
    </row>
    <row r="599" spans="1:22">
      <c r="A599">
        <v>10634</v>
      </c>
      <c r="B599" s="7" t="s">
        <v>69</v>
      </c>
      <c r="C599" s="14" t="s">
        <v>137</v>
      </c>
      <c r="D599" s="14" t="s">
        <v>39</v>
      </c>
      <c r="E599" s="14" t="s">
        <v>56</v>
      </c>
      <c r="F599" s="14" t="s">
        <v>49</v>
      </c>
      <c r="G599" s="14" t="s">
        <v>63</v>
      </c>
      <c r="H599" s="14">
        <v>10</v>
      </c>
      <c r="I599" s="2">
        <v>650</v>
      </c>
      <c r="J599" s="3">
        <v>15</v>
      </c>
      <c r="K599" s="2">
        <v>5525</v>
      </c>
      <c r="L599" s="2">
        <v>3867</v>
      </c>
      <c r="M599" s="2">
        <v>1658</v>
      </c>
      <c r="N599" s="14" t="s">
        <v>38</v>
      </c>
      <c r="O599" s="14">
        <v>3</v>
      </c>
      <c r="V599" s="2"/>
    </row>
    <row r="600" spans="1:22">
      <c r="A600">
        <v>10635</v>
      </c>
      <c r="B600" s="7" t="s">
        <v>208</v>
      </c>
      <c r="C600" s="14" t="s">
        <v>120</v>
      </c>
      <c r="D600" s="14" t="s">
        <v>42</v>
      </c>
      <c r="E600" s="14" t="s">
        <v>58</v>
      </c>
      <c r="F600" s="14" t="s">
        <v>37</v>
      </c>
      <c r="G600" s="14" t="s">
        <v>74</v>
      </c>
      <c r="H600" s="14">
        <v>5</v>
      </c>
      <c r="I600" s="2">
        <v>1990</v>
      </c>
      <c r="J600" s="3">
        <v>20</v>
      </c>
      <c r="K600" s="2">
        <v>7960</v>
      </c>
      <c r="L600" s="2">
        <v>5412</v>
      </c>
      <c r="M600" s="2">
        <v>2548</v>
      </c>
      <c r="N600" s="14" t="s">
        <v>44</v>
      </c>
      <c r="O600" s="14">
        <v>1</v>
      </c>
      <c r="V600" s="2"/>
    </row>
    <row r="601" spans="1:22">
      <c r="A601">
        <v>10636</v>
      </c>
      <c r="B601" s="7" t="s">
        <v>167</v>
      </c>
      <c r="C601" s="14" t="s">
        <v>128</v>
      </c>
      <c r="D601" s="14" t="s">
        <v>39</v>
      </c>
      <c r="E601" s="14" t="s">
        <v>61</v>
      </c>
      <c r="F601" s="14" t="s">
        <v>143</v>
      </c>
      <c r="G601" s="14" t="s">
        <v>66</v>
      </c>
      <c r="H601" s="14">
        <v>10</v>
      </c>
      <c r="I601" s="2">
        <v>330</v>
      </c>
      <c r="J601" s="3">
        <v>5</v>
      </c>
      <c r="K601" s="2">
        <v>3135</v>
      </c>
      <c r="L601" s="2">
        <v>2194</v>
      </c>
      <c r="M601" s="2">
        <v>941</v>
      </c>
      <c r="N601" s="14" t="s">
        <v>38</v>
      </c>
      <c r="O601" s="14">
        <v>4</v>
      </c>
      <c r="V601" s="2"/>
    </row>
    <row r="602" spans="1:22">
      <c r="A602">
        <v>10637</v>
      </c>
      <c r="B602" s="7" t="s">
        <v>463</v>
      </c>
      <c r="C602" s="14" t="s">
        <v>128</v>
      </c>
      <c r="D602" s="14" t="s">
        <v>45</v>
      </c>
      <c r="E602" s="14" t="s">
        <v>56</v>
      </c>
      <c r="F602" s="14" t="s">
        <v>57</v>
      </c>
      <c r="G602" s="14" t="s">
        <v>70</v>
      </c>
      <c r="H602" s="14">
        <v>5</v>
      </c>
      <c r="I602" s="2">
        <v>1620</v>
      </c>
      <c r="J602" s="3">
        <v>0</v>
      </c>
      <c r="K602" s="2">
        <v>8100</v>
      </c>
      <c r="L602" s="2">
        <v>6075</v>
      </c>
      <c r="M602" s="2">
        <v>2025</v>
      </c>
      <c r="N602" s="14" t="s">
        <v>41</v>
      </c>
      <c r="O602" s="14">
        <v>5</v>
      </c>
      <c r="V602" s="2"/>
    </row>
    <row r="603" spans="1:22">
      <c r="A603">
        <v>10638</v>
      </c>
      <c r="B603" s="7" t="s">
        <v>129</v>
      </c>
      <c r="C603" s="14" t="s">
        <v>141</v>
      </c>
      <c r="D603" s="14" t="s">
        <v>42</v>
      </c>
      <c r="E603" s="14" t="s">
        <v>58</v>
      </c>
      <c r="F603" s="14" t="s">
        <v>40</v>
      </c>
      <c r="G603" s="14" t="s">
        <v>74</v>
      </c>
      <c r="H603" s="14">
        <v>8</v>
      </c>
      <c r="I603" s="2">
        <v>1100</v>
      </c>
      <c r="J603" s="3">
        <v>0</v>
      </c>
      <c r="K603" s="2">
        <v>8800</v>
      </c>
      <c r="L603" s="2">
        <v>5544</v>
      </c>
      <c r="M603" s="2">
        <v>3256</v>
      </c>
      <c r="N603" s="14" t="s">
        <v>38</v>
      </c>
      <c r="O603" s="14">
        <v>5</v>
      </c>
      <c r="V603" s="2"/>
    </row>
    <row r="604" spans="1:22">
      <c r="A604">
        <v>10639</v>
      </c>
      <c r="B604" s="7" t="s">
        <v>439</v>
      </c>
      <c r="C604" s="14" t="s">
        <v>125</v>
      </c>
      <c r="D604" s="14" t="s">
        <v>42</v>
      </c>
      <c r="E604" s="14" t="s">
        <v>61</v>
      </c>
      <c r="F604" s="14" t="s">
        <v>117</v>
      </c>
      <c r="G604" s="14" t="s">
        <v>63</v>
      </c>
      <c r="H604" s="14">
        <v>2</v>
      </c>
      <c r="I604" s="2">
        <v>1320</v>
      </c>
      <c r="J604" s="3">
        <v>10</v>
      </c>
      <c r="K604" s="2">
        <v>2376</v>
      </c>
      <c r="L604" s="2">
        <v>1568</v>
      </c>
      <c r="M604" s="2">
        <v>808</v>
      </c>
      <c r="N604" s="14" t="s">
        <v>41</v>
      </c>
      <c r="O604" s="14">
        <v>5</v>
      </c>
      <c r="V604" s="2"/>
    </row>
    <row r="605" spans="1:22">
      <c r="A605">
        <v>10640</v>
      </c>
      <c r="B605" s="7" t="s">
        <v>306</v>
      </c>
      <c r="C605" s="14" t="s">
        <v>141</v>
      </c>
      <c r="D605" s="14" t="s">
        <v>39</v>
      </c>
      <c r="E605" s="14" t="s">
        <v>58</v>
      </c>
      <c r="F605" s="14" t="s">
        <v>37</v>
      </c>
      <c r="G605" s="14" t="s">
        <v>66</v>
      </c>
      <c r="H605" s="14">
        <v>1</v>
      </c>
      <c r="I605" s="2">
        <v>1290</v>
      </c>
      <c r="J605" s="3">
        <v>20</v>
      </c>
      <c r="K605" s="2">
        <v>1032</v>
      </c>
      <c r="L605" s="2">
        <v>866</v>
      </c>
      <c r="M605" s="2">
        <v>166</v>
      </c>
      <c r="N605" s="14" t="s">
        <v>38</v>
      </c>
      <c r="O605" s="14">
        <v>1</v>
      </c>
      <c r="V605" s="2"/>
    </row>
    <row r="606" spans="1:22">
      <c r="A606">
        <v>10641</v>
      </c>
      <c r="B606" s="7" t="s">
        <v>496</v>
      </c>
      <c r="C606" s="14" t="s">
        <v>130</v>
      </c>
      <c r="D606" s="14" t="s">
        <v>39</v>
      </c>
      <c r="E606" s="14" t="s">
        <v>61</v>
      </c>
      <c r="F606" s="14" t="s">
        <v>52</v>
      </c>
      <c r="G606" s="14" t="s">
        <v>70</v>
      </c>
      <c r="H606" s="14">
        <v>5</v>
      </c>
      <c r="I606" s="2">
        <v>1230</v>
      </c>
      <c r="J606" s="3">
        <v>20</v>
      </c>
      <c r="K606" s="2">
        <v>4920</v>
      </c>
      <c r="L606" s="2">
        <v>3247</v>
      </c>
      <c r="M606" s="2">
        <v>1673</v>
      </c>
      <c r="N606" s="14" t="s">
        <v>41</v>
      </c>
      <c r="O606" s="14">
        <v>3</v>
      </c>
      <c r="V606" s="2"/>
    </row>
    <row r="607" spans="1:22">
      <c r="A607">
        <v>10642</v>
      </c>
      <c r="B607" s="7" t="s">
        <v>497</v>
      </c>
      <c r="C607" s="14" t="s">
        <v>111</v>
      </c>
      <c r="D607" s="14" t="s">
        <v>42</v>
      </c>
      <c r="E607" s="14" t="s">
        <v>58</v>
      </c>
      <c r="F607" s="14" t="s">
        <v>37</v>
      </c>
      <c r="G607" s="14" t="s">
        <v>74</v>
      </c>
      <c r="H607" s="14">
        <v>1</v>
      </c>
      <c r="I607" s="2">
        <v>1870</v>
      </c>
      <c r="J607" s="3">
        <v>5</v>
      </c>
      <c r="K607" s="2">
        <v>1776.5</v>
      </c>
      <c r="L607" s="2">
        <v>1438</v>
      </c>
      <c r="M607" s="2">
        <v>338.5</v>
      </c>
      <c r="N607" s="14" t="s">
        <v>44</v>
      </c>
      <c r="O607" s="14">
        <v>5</v>
      </c>
      <c r="V607" s="2"/>
    </row>
    <row r="608" spans="1:22">
      <c r="A608">
        <v>10643</v>
      </c>
      <c r="B608" s="7" t="s">
        <v>498</v>
      </c>
      <c r="C608" s="14" t="s">
        <v>111</v>
      </c>
      <c r="D608" s="14" t="s">
        <v>45</v>
      </c>
      <c r="E608" s="14" t="s">
        <v>56</v>
      </c>
      <c r="F608" s="14" t="s">
        <v>57</v>
      </c>
      <c r="G608" s="14" t="s">
        <v>72</v>
      </c>
      <c r="H608" s="14">
        <v>4</v>
      </c>
      <c r="I608" s="2">
        <v>1570</v>
      </c>
      <c r="J608" s="3">
        <v>5</v>
      </c>
      <c r="K608" s="2">
        <v>5966</v>
      </c>
      <c r="L608" s="2">
        <v>3281</v>
      </c>
      <c r="M608" s="2">
        <v>2685</v>
      </c>
      <c r="N608" s="14" t="s">
        <v>41</v>
      </c>
      <c r="O608" s="14">
        <v>4</v>
      </c>
      <c r="V608" s="2"/>
    </row>
    <row r="609" spans="1:22">
      <c r="A609">
        <v>10644</v>
      </c>
      <c r="B609" s="7" t="s">
        <v>179</v>
      </c>
      <c r="C609" s="14" t="s">
        <v>111</v>
      </c>
      <c r="D609" s="14" t="s">
        <v>36</v>
      </c>
      <c r="E609" s="14" t="s">
        <v>61</v>
      </c>
      <c r="F609" s="14" t="s">
        <v>117</v>
      </c>
      <c r="G609" s="14" t="s">
        <v>63</v>
      </c>
      <c r="H609" s="14">
        <v>1</v>
      </c>
      <c r="I609" s="2">
        <v>1300</v>
      </c>
      <c r="J609" s="3">
        <v>15</v>
      </c>
      <c r="K609" s="2">
        <v>1105</v>
      </c>
      <c r="L609" s="2">
        <v>651</v>
      </c>
      <c r="M609" s="2">
        <v>454</v>
      </c>
      <c r="N609" s="14" t="s">
        <v>38</v>
      </c>
      <c r="O609" s="14">
        <v>5</v>
      </c>
      <c r="V609" s="2"/>
    </row>
    <row r="610" spans="1:22">
      <c r="A610">
        <v>10645</v>
      </c>
      <c r="B610" s="7" t="s">
        <v>139</v>
      </c>
      <c r="C610" s="14" t="s">
        <v>120</v>
      </c>
      <c r="D610" s="14" t="s">
        <v>36</v>
      </c>
      <c r="E610" s="14" t="s">
        <v>58</v>
      </c>
      <c r="F610" s="14" t="s">
        <v>43</v>
      </c>
      <c r="G610" s="14" t="s">
        <v>68</v>
      </c>
      <c r="H610" s="14">
        <v>11</v>
      </c>
      <c r="I610" s="2">
        <v>1760</v>
      </c>
      <c r="J610" s="3">
        <v>5</v>
      </c>
      <c r="K610" s="2">
        <v>18392</v>
      </c>
      <c r="L610" s="2">
        <v>14713</v>
      </c>
      <c r="M610" s="2">
        <v>3679</v>
      </c>
      <c r="N610" s="14" t="s">
        <v>38</v>
      </c>
      <c r="O610" s="14">
        <v>5</v>
      </c>
      <c r="V610" s="2"/>
    </row>
    <row r="611" spans="1:22">
      <c r="A611">
        <v>10646</v>
      </c>
      <c r="B611" s="7" t="s">
        <v>270</v>
      </c>
      <c r="C611" s="14" t="s">
        <v>116</v>
      </c>
      <c r="D611" s="14" t="s">
        <v>36</v>
      </c>
      <c r="E611" s="14" t="s">
        <v>58</v>
      </c>
      <c r="F611" s="14" t="s">
        <v>40</v>
      </c>
      <c r="G611" s="14" t="s">
        <v>72</v>
      </c>
      <c r="H611" s="14">
        <v>5</v>
      </c>
      <c r="I611" s="2">
        <v>1080</v>
      </c>
      <c r="J611" s="3">
        <v>5</v>
      </c>
      <c r="K611" s="2">
        <v>5130</v>
      </c>
      <c r="L611" s="2">
        <v>4052</v>
      </c>
      <c r="M611" s="2">
        <v>1078</v>
      </c>
      <c r="N611" s="14" t="s">
        <v>44</v>
      </c>
      <c r="O611" s="14">
        <v>2</v>
      </c>
      <c r="V611" s="2"/>
    </row>
    <row r="612" spans="1:22">
      <c r="A612">
        <v>10647</v>
      </c>
      <c r="B612" s="7" t="s">
        <v>479</v>
      </c>
      <c r="C612" s="14" t="s">
        <v>111</v>
      </c>
      <c r="D612" s="14" t="s">
        <v>39</v>
      </c>
      <c r="E612" s="14" t="s">
        <v>58</v>
      </c>
      <c r="F612" s="14" t="s">
        <v>37</v>
      </c>
      <c r="G612" s="14" t="s">
        <v>74</v>
      </c>
      <c r="H612" s="14">
        <v>13</v>
      </c>
      <c r="I612" s="2">
        <v>1590</v>
      </c>
      <c r="J612" s="3">
        <v>20</v>
      </c>
      <c r="K612" s="2">
        <v>16536</v>
      </c>
      <c r="L612" s="2">
        <v>9590</v>
      </c>
      <c r="M612" s="2">
        <v>6946</v>
      </c>
      <c r="N612" s="14" t="s">
        <v>44</v>
      </c>
      <c r="O612" s="14">
        <v>4</v>
      </c>
      <c r="V612" s="2"/>
    </row>
    <row r="613" spans="1:22">
      <c r="A613">
        <v>10648</v>
      </c>
      <c r="B613" s="7" t="s">
        <v>499</v>
      </c>
      <c r="C613" s="14" t="s">
        <v>147</v>
      </c>
      <c r="D613" s="14" t="s">
        <v>45</v>
      </c>
      <c r="E613" s="14" t="s">
        <v>58</v>
      </c>
      <c r="F613" s="14" t="s">
        <v>55</v>
      </c>
      <c r="G613" s="14" t="s">
        <v>72</v>
      </c>
      <c r="H613" s="14">
        <v>6</v>
      </c>
      <c r="I613" s="2">
        <v>1770</v>
      </c>
      <c r="J613" s="3">
        <v>15</v>
      </c>
      <c r="K613" s="2">
        <v>9027</v>
      </c>
      <c r="L613" s="2">
        <v>5235</v>
      </c>
      <c r="M613" s="2">
        <v>3792</v>
      </c>
      <c r="N613" s="14" t="s">
        <v>47</v>
      </c>
      <c r="O613" s="14">
        <v>5</v>
      </c>
      <c r="V613" s="2"/>
    </row>
    <row r="614" spans="1:22">
      <c r="A614">
        <v>10649</v>
      </c>
      <c r="B614" s="7" t="s">
        <v>425</v>
      </c>
      <c r="C614" s="14" t="s">
        <v>125</v>
      </c>
      <c r="D614" s="14" t="s">
        <v>42</v>
      </c>
      <c r="E614" s="14" t="s">
        <v>56</v>
      </c>
      <c r="F614" s="14" t="s">
        <v>57</v>
      </c>
      <c r="G614" s="14" t="s">
        <v>64</v>
      </c>
      <c r="H614" s="14">
        <v>10</v>
      </c>
      <c r="I614" s="2">
        <v>1340</v>
      </c>
      <c r="J614" s="3">
        <v>15</v>
      </c>
      <c r="K614" s="2">
        <v>11390</v>
      </c>
      <c r="L614" s="2">
        <v>9225</v>
      </c>
      <c r="M614" s="2">
        <v>2165</v>
      </c>
      <c r="N614" s="14" t="s">
        <v>38</v>
      </c>
      <c r="O614" s="14">
        <v>3</v>
      </c>
      <c r="V614" s="2"/>
    </row>
    <row r="615" spans="1:22">
      <c r="A615">
        <v>10650</v>
      </c>
      <c r="B615" s="7" t="s">
        <v>192</v>
      </c>
      <c r="C615" s="14" t="s">
        <v>135</v>
      </c>
      <c r="D615" s="14" t="s">
        <v>36</v>
      </c>
      <c r="E615" s="14" t="s">
        <v>58</v>
      </c>
      <c r="F615" s="14" t="s">
        <v>40</v>
      </c>
      <c r="G615" s="14" t="s">
        <v>72</v>
      </c>
      <c r="H615" s="14">
        <v>5</v>
      </c>
      <c r="I615" s="2">
        <v>540</v>
      </c>
      <c r="J615" s="3">
        <v>10</v>
      </c>
      <c r="K615" s="2">
        <v>2430</v>
      </c>
      <c r="L615" s="2">
        <v>1360</v>
      </c>
      <c r="M615" s="2">
        <v>1070</v>
      </c>
      <c r="N615" s="14" t="s">
        <v>44</v>
      </c>
      <c r="O615" s="14">
        <v>3</v>
      </c>
      <c r="V615" s="2"/>
    </row>
    <row r="616" spans="1:22">
      <c r="A616">
        <v>10651</v>
      </c>
      <c r="B616" s="7" t="s">
        <v>424</v>
      </c>
      <c r="C616" s="14" t="s">
        <v>130</v>
      </c>
      <c r="D616" s="14" t="s">
        <v>39</v>
      </c>
      <c r="E616" s="14" t="s">
        <v>61</v>
      </c>
      <c r="F616" s="14" t="s">
        <v>51</v>
      </c>
      <c r="G616" s="14" t="s">
        <v>74</v>
      </c>
      <c r="H616" s="14">
        <v>10</v>
      </c>
      <c r="I616" s="2">
        <v>1270</v>
      </c>
      <c r="J616" s="3">
        <v>5</v>
      </c>
      <c r="K616" s="2">
        <v>12065</v>
      </c>
      <c r="L616" s="2">
        <v>10134</v>
      </c>
      <c r="M616" s="2">
        <v>1931</v>
      </c>
      <c r="N616" s="14" t="s">
        <v>47</v>
      </c>
      <c r="O616" s="14">
        <v>3</v>
      </c>
      <c r="V616" s="2"/>
    </row>
    <row r="617" spans="1:22">
      <c r="A617">
        <v>10652</v>
      </c>
      <c r="B617" s="7" t="s">
        <v>432</v>
      </c>
      <c r="C617" s="14" t="s">
        <v>135</v>
      </c>
      <c r="D617" s="14" t="s">
        <v>45</v>
      </c>
      <c r="E617" s="14" t="s">
        <v>56</v>
      </c>
      <c r="F617" s="14" t="s">
        <v>49</v>
      </c>
      <c r="G617" s="14" t="s">
        <v>64</v>
      </c>
      <c r="H617" s="14">
        <v>5</v>
      </c>
      <c r="I617" s="2">
        <v>770</v>
      </c>
      <c r="J617" s="3">
        <v>5</v>
      </c>
      <c r="K617" s="2">
        <v>3657.5</v>
      </c>
      <c r="L617" s="2">
        <v>2889</v>
      </c>
      <c r="M617" s="2">
        <v>768.5</v>
      </c>
      <c r="N617" s="14" t="s">
        <v>38</v>
      </c>
      <c r="O617" s="14">
        <v>4</v>
      </c>
      <c r="V617" s="2"/>
    </row>
    <row r="618" spans="1:22">
      <c r="A618">
        <v>10653</v>
      </c>
      <c r="B618" s="7" t="s">
        <v>225</v>
      </c>
      <c r="C618" s="14" t="s">
        <v>120</v>
      </c>
      <c r="D618" s="14" t="s">
        <v>36</v>
      </c>
      <c r="E618" s="14" t="s">
        <v>58</v>
      </c>
      <c r="F618" s="14" t="s">
        <v>43</v>
      </c>
      <c r="G618" s="14" t="s">
        <v>74</v>
      </c>
      <c r="H618" s="14">
        <v>3</v>
      </c>
      <c r="I618" s="2">
        <v>540</v>
      </c>
      <c r="J618" s="3">
        <v>10</v>
      </c>
      <c r="K618" s="2">
        <v>1458</v>
      </c>
      <c r="L618" s="2">
        <v>976</v>
      </c>
      <c r="M618" s="2">
        <v>482</v>
      </c>
      <c r="N618" s="14" t="s">
        <v>41</v>
      </c>
      <c r="O618" s="14">
        <v>4</v>
      </c>
      <c r="V618" s="2"/>
    </row>
    <row r="619" spans="1:22">
      <c r="A619">
        <v>10654</v>
      </c>
      <c r="B619" s="7" t="s">
        <v>423</v>
      </c>
      <c r="C619" s="14" t="s">
        <v>125</v>
      </c>
      <c r="D619" s="14" t="s">
        <v>36</v>
      </c>
      <c r="E619" s="14" t="s">
        <v>56</v>
      </c>
      <c r="F619" s="14" t="s">
        <v>49</v>
      </c>
      <c r="G619" s="14" t="s">
        <v>63</v>
      </c>
      <c r="H619" s="14">
        <v>8</v>
      </c>
      <c r="I619" s="2">
        <v>470</v>
      </c>
      <c r="J619" s="3">
        <v>0</v>
      </c>
      <c r="K619" s="2">
        <v>3760</v>
      </c>
      <c r="L619" s="2">
        <v>2744</v>
      </c>
      <c r="M619" s="2">
        <v>1016</v>
      </c>
      <c r="N619" s="14" t="s">
        <v>41</v>
      </c>
      <c r="O619" s="14">
        <v>3</v>
      </c>
      <c r="V619" s="2"/>
    </row>
    <row r="620" spans="1:22">
      <c r="A620">
        <v>10655</v>
      </c>
      <c r="B620" s="7" t="s">
        <v>371</v>
      </c>
      <c r="C620" s="14" t="s">
        <v>125</v>
      </c>
      <c r="D620" s="14" t="s">
        <v>42</v>
      </c>
      <c r="E620" s="14" t="s">
        <v>56</v>
      </c>
      <c r="F620" s="14" t="s">
        <v>57</v>
      </c>
      <c r="G620" s="14" t="s">
        <v>63</v>
      </c>
      <c r="H620" s="14">
        <v>6</v>
      </c>
      <c r="I620" s="2">
        <v>920</v>
      </c>
      <c r="J620" s="3">
        <v>5</v>
      </c>
      <c r="K620" s="2">
        <v>5244</v>
      </c>
      <c r="L620" s="2">
        <v>3880</v>
      </c>
      <c r="M620" s="2">
        <v>1364</v>
      </c>
      <c r="N620" s="14" t="s">
        <v>47</v>
      </c>
      <c r="O620" s="14">
        <v>3</v>
      </c>
      <c r="V620" s="2"/>
    </row>
    <row r="621" spans="1:22">
      <c r="A621">
        <v>10656</v>
      </c>
      <c r="B621" s="7" t="s">
        <v>400</v>
      </c>
      <c r="C621" s="14" t="s">
        <v>135</v>
      </c>
      <c r="D621" s="14" t="s">
        <v>36</v>
      </c>
      <c r="E621" s="14" t="s">
        <v>58</v>
      </c>
      <c r="F621" s="14" t="s">
        <v>37</v>
      </c>
      <c r="G621" s="14" t="s">
        <v>68</v>
      </c>
      <c r="H621" s="14">
        <v>2</v>
      </c>
      <c r="I621" s="2">
        <v>330</v>
      </c>
      <c r="J621" s="3">
        <v>15</v>
      </c>
      <c r="K621" s="2">
        <v>561</v>
      </c>
      <c r="L621" s="2">
        <v>375</v>
      </c>
      <c r="M621" s="2">
        <v>186</v>
      </c>
      <c r="N621" s="14" t="s">
        <v>47</v>
      </c>
      <c r="O621" s="14">
        <v>3</v>
      </c>
      <c r="V621" s="2"/>
    </row>
    <row r="622" spans="1:22">
      <c r="A622">
        <v>10657</v>
      </c>
      <c r="B622" s="7" t="s">
        <v>500</v>
      </c>
      <c r="C622" s="14" t="s">
        <v>141</v>
      </c>
      <c r="D622" s="14" t="s">
        <v>45</v>
      </c>
      <c r="E622" s="14" t="s">
        <v>61</v>
      </c>
      <c r="F622" s="14" t="s">
        <v>52</v>
      </c>
      <c r="G622" s="14" t="s">
        <v>70</v>
      </c>
      <c r="H622" s="14">
        <v>5</v>
      </c>
      <c r="I622" s="2">
        <v>1500</v>
      </c>
      <c r="J622" s="3">
        <v>5</v>
      </c>
      <c r="K622" s="2">
        <v>7125</v>
      </c>
      <c r="L622" s="2">
        <v>3918</v>
      </c>
      <c r="M622" s="2">
        <v>3207</v>
      </c>
      <c r="N622" s="14" t="s">
        <v>47</v>
      </c>
      <c r="O622" s="14">
        <v>5</v>
      </c>
      <c r="V622" s="2"/>
    </row>
    <row r="623" spans="1:22">
      <c r="A623">
        <v>10658</v>
      </c>
      <c r="B623" s="7" t="s">
        <v>501</v>
      </c>
      <c r="C623" s="14" t="s">
        <v>147</v>
      </c>
      <c r="D623" s="14" t="s">
        <v>39</v>
      </c>
      <c r="E623" s="14" t="s">
        <v>61</v>
      </c>
      <c r="F623" s="14" t="s">
        <v>51</v>
      </c>
      <c r="G623" s="14" t="s">
        <v>63</v>
      </c>
      <c r="H623" s="14">
        <v>15</v>
      </c>
      <c r="I623" s="2">
        <v>570</v>
      </c>
      <c r="J623" s="3">
        <v>0</v>
      </c>
      <c r="K623" s="2">
        <v>8550</v>
      </c>
      <c r="L623" s="2">
        <v>6840</v>
      </c>
      <c r="M623" s="2">
        <v>1710</v>
      </c>
      <c r="N623" s="14" t="s">
        <v>41</v>
      </c>
      <c r="O623" s="14">
        <v>4</v>
      </c>
      <c r="V623" s="2"/>
    </row>
    <row r="624" spans="1:22">
      <c r="A624">
        <v>10659</v>
      </c>
      <c r="B624" s="7" t="s">
        <v>502</v>
      </c>
      <c r="C624" s="14" t="s">
        <v>135</v>
      </c>
      <c r="D624" s="14" t="s">
        <v>36</v>
      </c>
      <c r="E624" s="14" t="s">
        <v>56</v>
      </c>
      <c r="F624" s="14" t="s">
        <v>49</v>
      </c>
      <c r="G624" s="14" t="s">
        <v>72</v>
      </c>
      <c r="H624" s="14">
        <v>14</v>
      </c>
      <c r="I624" s="2">
        <v>1450</v>
      </c>
      <c r="J624" s="3">
        <v>20</v>
      </c>
      <c r="K624" s="2">
        <v>16240</v>
      </c>
      <c r="L624" s="2">
        <v>12504</v>
      </c>
      <c r="M624" s="2">
        <v>3736</v>
      </c>
      <c r="N624" s="14" t="s">
        <v>44</v>
      </c>
      <c r="O624" s="14">
        <v>2</v>
      </c>
      <c r="V624" s="2"/>
    </row>
    <row r="625" spans="1:22">
      <c r="A625">
        <v>10660</v>
      </c>
      <c r="B625" s="7" t="s">
        <v>490</v>
      </c>
      <c r="C625" s="14" t="s">
        <v>111</v>
      </c>
      <c r="D625" s="14" t="s">
        <v>45</v>
      </c>
      <c r="E625" s="14" t="s">
        <v>61</v>
      </c>
      <c r="F625" s="14" t="s">
        <v>51</v>
      </c>
      <c r="G625" s="14" t="s">
        <v>70</v>
      </c>
      <c r="H625" s="14">
        <v>9</v>
      </c>
      <c r="I625" s="2">
        <v>1590</v>
      </c>
      <c r="J625" s="3">
        <v>15</v>
      </c>
      <c r="K625" s="2">
        <v>12163.5</v>
      </c>
      <c r="L625" s="2">
        <v>7541</v>
      </c>
      <c r="M625" s="2">
        <v>4622.5</v>
      </c>
      <c r="N625" s="14" t="s">
        <v>47</v>
      </c>
      <c r="O625" s="14">
        <v>5</v>
      </c>
      <c r="V625" s="2"/>
    </row>
    <row r="626" spans="1:22">
      <c r="A626">
        <v>10661</v>
      </c>
      <c r="B626" s="7" t="s">
        <v>495</v>
      </c>
      <c r="C626" s="14" t="s">
        <v>125</v>
      </c>
      <c r="D626" s="14" t="s">
        <v>36</v>
      </c>
      <c r="E626" s="14" t="s">
        <v>56</v>
      </c>
      <c r="F626" s="14" t="s">
        <v>131</v>
      </c>
      <c r="G626" s="14" t="s">
        <v>74</v>
      </c>
      <c r="H626" s="14">
        <v>8</v>
      </c>
      <c r="I626" s="2">
        <v>1050</v>
      </c>
      <c r="J626" s="3">
        <v>10</v>
      </c>
      <c r="K626" s="2">
        <v>7560</v>
      </c>
      <c r="L626" s="2">
        <v>5670</v>
      </c>
      <c r="M626" s="2">
        <v>1890</v>
      </c>
      <c r="N626" s="14" t="s">
        <v>44</v>
      </c>
      <c r="O626" s="14">
        <v>1</v>
      </c>
      <c r="V626" s="2"/>
    </row>
    <row r="627" spans="1:22">
      <c r="A627">
        <v>10662</v>
      </c>
      <c r="B627" s="7" t="s">
        <v>145</v>
      </c>
      <c r="C627" s="14" t="s">
        <v>125</v>
      </c>
      <c r="D627" s="14" t="s">
        <v>42</v>
      </c>
      <c r="E627" s="14" t="s">
        <v>58</v>
      </c>
      <c r="F627" s="14" t="s">
        <v>40</v>
      </c>
      <c r="G627" s="14" t="s">
        <v>63</v>
      </c>
      <c r="H627" s="14">
        <v>4</v>
      </c>
      <c r="I627" s="2">
        <v>1660</v>
      </c>
      <c r="J627" s="3">
        <v>15</v>
      </c>
      <c r="K627" s="2">
        <v>5644</v>
      </c>
      <c r="L627" s="2">
        <v>4458</v>
      </c>
      <c r="M627" s="2">
        <v>1186</v>
      </c>
      <c r="N627" s="14" t="s">
        <v>47</v>
      </c>
      <c r="O627" s="14">
        <v>3</v>
      </c>
      <c r="V627" s="2"/>
    </row>
    <row r="628" spans="1:22">
      <c r="A628">
        <v>10663</v>
      </c>
      <c r="B628" s="7" t="s">
        <v>503</v>
      </c>
      <c r="C628" s="14" t="s">
        <v>128</v>
      </c>
      <c r="D628" s="14" t="s">
        <v>39</v>
      </c>
      <c r="E628" s="14" t="s">
        <v>56</v>
      </c>
      <c r="F628" s="14" t="s">
        <v>150</v>
      </c>
      <c r="G628" s="14" t="s">
        <v>64</v>
      </c>
      <c r="H628" s="14">
        <v>5</v>
      </c>
      <c r="I628" s="2">
        <v>1320</v>
      </c>
      <c r="J628" s="3">
        <v>10</v>
      </c>
      <c r="K628" s="2">
        <v>5940</v>
      </c>
      <c r="L628" s="2">
        <v>4039</v>
      </c>
      <c r="M628" s="2">
        <v>1901</v>
      </c>
      <c r="N628" s="14" t="s">
        <v>41</v>
      </c>
      <c r="O628" s="14">
        <v>2</v>
      </c>
      <c r="V628" s="2"/>
    </row>
    <row r="629" spans="1:22">
      <c r="A629">
        <v>10664</v>
      </c>
      <c r="B629" s="7" t="s">
        <v>235</v>
      </c>
      <c r="C629" s="14" t="s">
        <v>141</v>
      </c>
      <c r="D629" s="14" t="s">
        <v>42</v>
      </c>
      <c r="E629" s="14" t="s">
        <v>58</v>
      </c>
      <c r="F629" s="14" t="s">
        <v>37</v>
      </c>
      <c r="G629" s="14" t="s">
        <v>64</v>
      </c>
      <c r="H629" s="14">
        <v>14</v>
      </c>
      <c r="I629" s="2">
        <v>1980</v>
      </c>
      <c r="J629" s="3">
        <v>0</v>
      </c>
      <c r="K629" s="2">
        <v>27720</v>
      </c>
      <c r="L629" s="2">
        <v>18572</v>
      </c>
      <c r="M629" s="2">
        <v>9148</v>
      </c>
      <c r="N629" s="14" t="s">
        <v>41</v>
      </c>
      <c r="O629" s="14">
        <v>5</v>
      </c>
      <c r="V629" s="2"/>
    </row>
    <row r="630" spans="1:22">
      <c r="A630">
        <v>10665</v>
      </c>
      <c r="B630" s="7" t="s">
        <v>221</v>
      </c>
      <c r="C630" s="14" t="s">
        <v>141</v>
      </c>
      <c r="D630" s="14" t="s">
        <v>36</v>
      </c>
      <c r="E630" s="14" t="s">
        <v>61</v>
      </c>
      <c r="F630" s="14" t="s">
        <v>51</v>
      </c>
      <c r="G630" s="14" t="s">
        <v>70</v>
      </c>
      <c r="H630" s="14">
        <v>2</v>
      </c>
      <c r="I630" s="2">
        <v>1350</v>
      </c>
      <c r="J630" s="3">
        <v>5</v>
      </c>
      <c r="K630" s="2">
        <v>2565</v>
      </c>
      <c r="L630" s="2">
        <v>1615</v>
      </c>
      <c r="M630" s="2">
        <v>950</v>
      </c>
      <c r="N630" s="14" t="s">
        <v>38</v>
      </c>
      <c r="O630" s="14">
        <v>3</v>
      </c>
      <c r="V630" s="2"/>
    </row>
    <row r="631" spans="1:22">
      <c r="A631">
        <v>10668</v>
      </c>
      <c r="B631" s="7" t="s">
        <v>158</v>
      </c>
      <c r="C631" s="14" t="s">
        <v>128</v>
      </c>
      <c r="D631" s="14" t="s">
        <v>45</v>
      </c>
      <c r="E631" s="14" t="s">
        <v>61</v>
      </c>
      <c r="F631" s="14" t="s">
        <v>51</v>
      </c>
      <c r="G631" s="14" t="s">
        <v>72</v>
      </c>
      <c r="H631" s="14">
        <v>7</v>
      </c>
      <c r="I631" s="2">
        <v>630</v>
      </c>
      <c r="J631" s="3">
        <v>15</v>
      </c>
      <c r="K631" s="2">
        <v>3748.5</v>
      </c>
      <c r="L631" s="2">
        <v>3073</v>
      </c>
      <c r="M631" s="2">
        <v>675.5</v>
      </c>
      <c r="N631" s="14" t="s">
        <v>38</v>
      </c>
      <c r="O631" s="14">
        <v>3</v>
      </c>
      <c r="V631" s="2"/>
    </row>
    <row r="632" spans="1:22">
      <c r="A632">
        <v>10669</v>
      </c>
      <c r="B632" s="7" t="s">
        <v>312</v>
      </c>
      <c r="C632" s="14" t="s">
        <v>120</v>
      </c>
      <c r="D632" s="14" t="s">
        <v>42</v>
      </c>
      <c r="E632" s="14" t="s">
        <v>61</v>
      </c>
      <c r="F632" s="14" t="s">
        <v>46</v>
      </c>
      <c r="G632" s="14" t="s">
        <v>64</v>
      </c>
      <c r="H632" s="14">
        <v>13</v>
      </c>
      <c r="I632" s="2">
        <v>1110</v>
      </c>
      <c r="J632" s="3">
        <v>15</v>
      </c>
      <c r="K632" s="2">
        <v>12265.5</v>
      </c>
      <c r="L632" s="2">
        <v>8463</v>
      </c>
      <c r="M632" s="2">
        <v>3802.5</v>
      </c>
      <c r="N632" s="14" t="s">
        <v>38</v>
      </c>
      <c r="O632" s="14">
        <v>1</v>
      </c>
      <c r="V632" s="2"/>
    </row>
    <row r="633" spans="1:22">
      <c r="A633">
        <v>10670</v>
      </c>
      <c r="B633" s="7" t="s">
        <v>223</v>
      </c>
      <c r="C633" s="14" t="s">
        <v>111</v>
      </c>
      <c r="D633" s="14" t="s">
        <v>45</v>
      </c>
      <c r="E633" s="14" t="s">
        <v>56</v>
      </c>
      <c r="F633" s="14" t="s">
        <v>57</v>
      </c>
      <c r="G633" s="14" t="s">
        <v>74</v>
      </c>
      <c r="H633" s="14">
        <v>6</v>
      </c>
      <c r="I633" s="2">
        <v>260</v>
      </c>
      <c r="J633" s="3">
        <v>20</v>
      </c>
      <c r="K633" s="2">
        <v>1248</v>
      </c>
      <c r="L633" s="2">
        <v>736</v>
      </c>
      <c r="M633" s="2">
        <v>512</v>
      </c>
      <c r="N633" s="14" t="s">
        <v>38</v>
      </c>
      <c r="O633" s="14">
        <v>1</v>
      </c>
      <c r="V633" s="2"/>
    </row>
    <row r="634" spans="1:22">
      <c r="A634">
        <v>10671</v>
      </c>
      <c r="B634" s="7" t="s">
        <v>476</v>
      </c>
      <c r="C634" s="14" t="s">
        <v>137</v>
      </c>
      <c r="D634" s="14" t="s">
        <v>39</v>
      </c>
      <c r="E634" s="14" t="s">
        <v>61</v>
      </c>
      <c r="F634" s="14" t="s">
        <v>117</v>
      </c>
      <c r="G634" s="14" t="s">
        <v>72</v>
      </c>
      <c r="H634" s="14">
        <v>15</v>
      </c>
      <c r="I634" s="2">
        <v>880</v>
      </c>
      <c r="J634" s="3">
        <v>20</v>
      </c>
      <c r="K634" s="2">
        <v>10560</v>
      </c>
      <c r="L634" s="2">
        <v>8659</v>
      </c>
      <c r="M634" s="2">
        <v>1901</v>
      </c>
      <c r="N634" s="14" t="s">
        <v>47</v>
      </c>
      <c r="O634" s="14">
        <v>1</v>
      </c>
      <c r="V634" s="2"/>
    </row>
    <row r="635" spans="1:22">
      <c r="A635">
        <v>10672</v>
      </c>
      <c r="B635" s="7" t="s">
        <v>504</v>
      </c>
      <c r="C635" s="14" t="s">
        <v>111</v>
      </c>
      <c r="D635" s="14" t="s">
        <v>36</v>
      </c>
      <c r="E635" s="14" t="s">
        <v>56</v>
      </c>
      <c r="F635" s="14" t="s">
        <v>49</v>
      </c>
      <c r="G635" s="14" t="s">
        <v>68</v>
      </c>
      <c r="H635" s="14">
        <v>14</v>
      </c>
      <c r="I635" s="2">
        <v>1880</v>
      </c>
      <c r="J635" s="3">
        <v>5</v>
      </c>
      <c r="K635" s="2">
        <v>25004</v>
      </c>
      <c r="L635" s="2">
        <v>17752</v>
      </c>
      <c r="M635" s="2">
        <v>7252</v>
      </c>
      <c r="N635" s="14" t="s">
        <v>44</v>
      </c>
      <c r="O635" s="14">
        <v>4</v>
      </c>
      <c r="V635" s="2"/>
    </row>
    <row r="636" spans="1:22">
      <c r="A636">
        <v>10673</v>
      </c>
      <c r="B636" s="7" t="s">
        <v>443</v>
      </c>
      <c r="C636" s="14" t="s">
        <v>128</v>
      </c>
      <c r="D636" s="14" t="s">
        <v>39</v>
      </c>
      <c r="E636" s="14" t="s">
        <v>61</v>
      </c>
      <c r="F636" s="14" t="s">
        <v>143</v>
      </c>
      <c r="G636" s="14" t="s">
        <v>68</v>
      </c>
      <c r="H636" s="14">
        <v>12</v>
      </c>
      <c r="I636" s="2">
        <v>790</v>
      </c>
      <c r="J636" s="3">
        <v>10</v>
      </c>
      <c r="K636" s="2">
        <v>8532</v>
      </c>
      <c r="L636" s="2">
        <v>6143</v>
      </c>
      <c r="M636" s="2">
        <v>2389</v>
      </c>
      <c r="N636" s="14" t="s">
        <v>38</v>
      </c>
      <c r="O636" s="14">
        <v>1</v>
      </c>
      <c r="V636" s="2"/>
    </row>
    <row r="637" spans="1:22">
      <c r="A637">
        <v>10674</v>
      </c>
      <c r="B637" s="7" t="s">
        <v>411</v>
      </c>
      <c r="C637" s="14" t="s">
        <v>128</v>
      </c>
      <c r="D637" s="14" t="s">
        <v>36</v>
      </c>
      <c r="E637" s="14" t="s">
        <v>58</v>
      </c>
      <c r="F637" s="14" t="s">
        <v>40</v>
      </c>
      <c r="G637" s="14" t="s">
        <v>72</v>
      </c>
      <c r="H637" s="14">
        <v>12</v>
      </c>
      <c r="I637" s="2">
        <v>640</v>
      </c>
      <c r="J637" s="3">
        <v>0</v>
      </c>
      <c r="K637" s="2">
        <v>7680</v>
      </c>
      <c r="L637" s="2">
        <v>6220</v>
      </c>
      <c r="M637" s="2">
        <v>1460</v>
      </c>
      <c r="N637" s="14" t="s">
        <v>41</v>
      </c>
      <c r="O637" s="14">
        <v>4</v>
      </c>
      <c r="V637" s="2"/>
    </row>
    <row r="638" spans="1:22">
      <c r="A638">
        <v>10675</v>
      </c>
      <c r="B638" s="7" t="s">
        <v>488</v>
      </c>
      <c r="C638" s="14" t="s">
        <v>120</v>
      </c>
      <c r="D638" s="14" t="s">
        <v>36</v>
      </c>
      <c r="E638" s="14" t="s">
        <v>58</v>
      </c>
      <c r="F638" s="14" t="s">
        <v>55</v>
      </c>
      <c r="G638" s="14" t="s">
        <v>66</v>
      </c>
      <c r="H638" s="14">
        <v>4</v>
      </c>
      <c r="I638" s="2">
        <v>860</v>
      </c>
      <c r="J638" s="3">
        <v>15</v>
      </c>
      <c r="K638" s="2">
        <v>2924</v>
      </c>
      <c r="L638" s="2">
        <v>2163</v>
      </c>
      <c r="M638" s="2">
        <v>761</v>
      </c>
      <c r="N638" s="14" t="s">
        <v>47</v>
      </c>
      <c r="O638" s="14">
        <v>2</v>
      </c>
      <c r="V638" s="2"/>
    </row>
    <row r="639" spans="1:22">
      <c r="A639">
        <v>10676</v>
      </c>
      <c r="B639" s="7" t="s">
        <v>134</v>
      </c>
      <c r="C639" s="14" t="s">
        <v>130</v>
      </c>
      <c r="D639" s="14" t="s">
        <v>45</v>
      </c>
      <c r="E639" s="14" t="s">
        <v>61</v>
      </c>
      <c r="F639" s="14" t="s">
        <v>117</v>
      </c>
      <c r="G639" s="14" t="s">
        <v>66</v>
      </c>
      <c r="H639" s="14">
        <v>5</v>
      </c>
      <c r="I639" s="2">
        <v>220</v>
      </c>
      <c r="J639" s="3">
        <v>15</v>
      </c>
      <c r="K639" s="2">
        <v>935</v>
      </c>
      <c r="L639" s="2">
        <v>570</v>
      </c>
      <c r="M639" s="2">
        <v>365</v>
      </c>
      <c r="N639" s="14" t="s">
        <v>47</v>
      </c>
      <c r="O639" s="14">
        <v>3</v>
      </c>
      <c r="V639" s="2"/>
    </row>
    <row r="640" spans="1:22">
      <c r="A640">
        <v>10677</v>
      </c>
      <c r="B640" s="7" t="s">
        <v>505</v>
      </c>
      <c r="C640" s="14" t="s">
        <v>141</v>
      </c>
      <c r="D640" s="14" t="s">
        <v>39</v>
      </c>
      <c r="E640" s="14" t="s">
        <v>61</v>
      </c>
      <c r="F640" s="14" t="s">
        <v>52</v>
      </c>
      <c r="G640" s="14" t="s">
        <v>72</v>
      </c>
      <c r="H640" s="14">
        <v>6</v>
      </c>
      <c r="I640" s="2">
        <v>850</v>
      </c>
      <c r="J640" s="3">
        <v>0</v>
      </c>
      <c r="K640" s="2">
        <v>5100</v>
      </c>
      <c r="L640" s="2">
        <v>3825</v>
      </c>
      <c r="M640" s="2">
        <v>1275</v>
      </c>
      <c r="N640" s="14" t="s">
        <v>38</v>
      </c>
      <c r="O640" s="14">
        <v>3</v>
      </c>
      <c r="V640" s="2"/>
    </row>
    <row r="641" spans="1:22">
      <c r="A641">
        <v>10678</v>
      </c>
      <c r="B641" s="7" t="s">
        <v>393</v>
      </c>
      <c r="C641" s="14" t="s">
        <v>128</v>
      </c>
      <c r="D641" s="14" t="s">
        <v>42</v>
      </c>
      <c r="E641" s="14" t="s">
        <v>61</v>
      </c>
      <c r="F641" s="14" t="s">
        <v>46</v>
      </c>
      <c r="G641" s="14" t="s">
        <v>64</v>
      </c>
      <c r="H641" s="14">
        <v>2</v>
      </c>
      <c r="I641" s="2">
        <v>1830</v>
      </c>
      <c r="J641" s="3">
        <v>15</v>
      </c>
      <c r="K641" s="2">
        <v>3111</v>
      </c>
      <c r="L641" s="2">
        <v>2115</v>
      </c>
      <c r="M641" s="2">
        <v>996</v>
      </c>
      <c r="N641" s="14" t="s">
        <v>47</v>
      </c>
      <c r="O641" s="14">
        <v>4</v>
      </c>
      <c r="V641" s="2"/>
    </row>
    <row r="642" spans="1:22">
      <c r="A642">
        <v>10679</v>
      </c>
      <c r="B642" s="7" t="s">
        <v>506</v>
      </c>
      <c r="C642" s="14" t="s">
        <v>141</v>
      </c>
      <c r="D642" s="14" t="s">
        <v>45</v>
      </c>
      <c r="E642" s="14" t="s">
        <v>58</v>
      </c>
      <c r="F642" s="14" t="s">
        <v>43</v>
      </c>
      <c r="G642" s="14" t="s">
        <v>74</v>
      </c>
      <c r="H642" s="14">
        <v>11</v>
      </c>
      <c r="I642" s="2">
        <v>620</v>
      </c>
      <c r="J642" s="3">
        <v>10</v>
      </c>
      <c r="K642" s="2">
        <v>6138</v>
      </c>
      <c r="L642" s="2">
        <v>4787</v>
      </c>
      <c r="M642" s="2">
        <v>1351</v>
      </c>
      <c r="N642" s="14" t="s">
        <v>47</v>
      </c>
      <c r="O642" s="14">
        <v>1</v>
      </c>
      <c r="V642" s="2"/>
    </row>
    <row r="643" spans="1:22">
      <c r="A643">
        <v>10680</v>
      </c>
      <c r="B643" s="7" t="s">
        <v>507</v>
      </c>
      <c r="C643" s="14" t="s">
        <v>116</v>
      </c>
      <c r="D643" s="14" t="s">
        <v>39</v>
      </c>
      <c r="E643" s="14" t="s">
        <v>58</v>
      </c>
      <c r="F643" s="14" t="s">
        <v>55</v>
      </c>
      <c r="G643" s="14" t="s">
        <v>72</v>
      </c>
      <c r="H643" s="14">
        <v>4</v>
      </c>
      <c r="I643" s="2">
        <v>1890</v>
      </c>
      <c r="J643" s="3">
        <v>20</v>
      </c>
      <c r="K643" s="2">
        <v>6048</v>
      </c>
      <c r="L643" s="2">
        <v>3870</v>
      </c>
      <c r="M643" s="2">
        <v>2178</v>
      </c>
      <c r="N643" s="14" t="s">
        <v>38</v>
      </c>
      <c r="O643" s="14">
        <v>5</v>
      </c>
      <c r="V643" s="2"/>
    </row>
    <row r="644" spans="1:22">
      <c r="A644">
        <v>10681</v>
      </c>
      <c r="B644" s="7" t="s">
        <v>213</v>
      </c>
      <c r="C644" s="14" t="s">
        <v>120</v>
      </c>
      <c r="D644" s="14" t="s">
        <v>39</v>
      </c>
      <c r="E644" s="14" t="s">
        <v>56</v>
      </c>
      <c r="F644" s="14" t="s">
        <v>50</v>
      </c>
      <c r="G644" s="14" t="s">
        <v>70</v>
      </c>
      <c r="H644" s="14">
        <v>1</v>
      </c>
      <c r="I644" s="2">
        <v>1830</v>
      </c>
      <c r="J644" s="3">
        <v>15</v>
      </c>
      <c r="K644" s="2">
        <v>1555.5</v>
      </c>
      <c r="L644" s="2">
        <v>1166</v>
      </c>
      <c r="M644" s="2">
        <v>389.5</v>
      </c>
      <c r="N644" s="14" t="s">
        <v>38</v>
      </c>
      <c r="O644" s="14">
        <v>5</v>
      </c>
      <c r="V644" s="2"/>
    </row>
    <row r="645" spans="1:22">
      <c r="A645">
        <v>10682</v>
      </c>
      <c r="B645" s="7" t="s">
        <v>508</v>
      </c>
      <c r="C645" s="14" t="s">
        <v>141</v>
      </c>
      <c r="D645" s="14" t="s">
        <v>45</v>
      </c>
      <c r="E645" s="14" t="s">
        <v>58</v>
      </c>
      <c r="F645" s="14" t="s">
        <v>43</v>
      </c>
      <c r="G645" s="14" t="s">
        <v>68</v>
      </c>
      <c r="H645" s="14">
        <v>12</v>
      </c>
      <c r="I645" s="2">
        <v>810</v>
      </c>
      <c r="J645" s="3">
        <v>15</v>
      </c>
      <c r="K645" s="2">
        <v>8262</v>
      </c>
      <c r="L645" s="2">
        <v>4626</v>
      </c>
      <c r="M645" s="2">
        <v>3636</v>
      </c>
      <c r="N645" s="14" t="s">
        <v>44</v>
      </c>
      <c r="O645" s="14">
        <v>1</v>
      </c>
      <c r="V645" s="2"/>
    </row>
    <row r="646" spans="1:22">
      <c r="A646">
        <v>10683</v>
      </c>
      <c r="B646" s="7" t="s">
        <v>509</v>
      </c>
      <c r="C646" s="14" t="s">
        <v>147</v>
      </c>
      <c r="D646" s="14" t="s">
        <v>45</v>
      </c>
      <c r="E646" s="14" t="s">
        <v>56</v>
      </c>
      <c r="F646" s="14" t="s">
        <v>150</v>
      </c>
      <c r="G646" s="14" t="s">
        <v>63</v>
      </c>
      <c r="H646" s="14">
        <v>3</v>
      </c>
      <c r="I646" s="2">
        <v>650</v>
      </c>
      <c r="J646" s="3">
        <v>15</v>
      </c>
      <c r="K646" s="2">
        <v>1657.5</v>
      </c>
      <c r="L646" s="2">
        <v>1342</v>
      </c>
      <c r="M646" s="2">
        <v>315.5</v>
      </c>
      <c r="N646" s="14" t="s">
        <v>47</v>
      </c>
      <c r="O646" s="14">
        <v>1</v>
      </c>
      <c r="V646" s="2"/>
    </row>
    <row r="647" spans="1:22">
      <c r="A647">
        <v>10684</v>
      </c>
      <c r="B647" s="7" t="s">
        <v>324</v>
      </c>
      <c r="C647" s="14" t="s">
        <v>141</v>
      </c>
      <c r="D647" s="14" t="s">
        <v>39</v>
      </c>
      <c r="E647" s="14" t="s">
        <v>61</v>
      </c>
      <c r="F647" s="14" t="s">
        <v>52</v>
      </c>
      <c r="G647" s="14" t="s">
        <v>64</v>
      </c>
      <c r="H647" s="14">
        <v>9</v>
      </c>
      <c r="I647" s="2">
        <v>1850</v>
      </c>
      <c r="J647" s="3">
        <v>20</v>
      </c>
      <c r="K647" s="2">
        <v>13320</v>
      </c>
      <c r="L647" s="2">
        <v>10123</v>
      </c>
      <c r="M647" s="2">
        <v>3197</v>
      </c>
      <c r="N647" s="14" t="s">
        <v>47</v>
      </c>
      <c r="O647" s="14">
        <v>4</v>
      </c>
      <c r="V647" s="2"/>
    </row>
    <row r="648" spans="1:22">
      <c r="A648">
        <v>10685</v>
      </c>
      <c r="B648" s="7" t="s">
        <v>209</v>
      </c>
      <c r="C648" s="14" t="s">
        <v>128</v>
      </c>
      <c r="D648" s="14" t="s">
        <v>45</v>
      </c>
      <c r="E648" s="14" t="s">
        <v>58</v>
      </c>
      <c r="F648" s="14" t="s">
        <v>37</v>
      </c>
      <c r="G648" s="14" t="s">
        <v>63</v>
      </c>
      <c r="H648" s="14">
        <v>5</v>
      </c>
      <c r="I648" s="2">
        <v>1170</v>
      </c>
      <c r="J648" s="3">
        <v>0</v>
      </c>
      <c r="K648" s="2">
        <v>5850</v>
      </c>
      <c r="L648" s="2">
        <v>4387</v>
      </c>
      <c r="M648" s="2">
        <v>1463</v>
      </c>
      <c r="N648" s="14" t="s">
        <v>38</v>
      </c>
      <c r="O648" s="14">
        <v>4</v>
      </c>
      <c r="V648" s="2"/>
    </row>
    <row r="649" spans="1:22">
      <c r="A649">
        <v>10686</v>
      </c>
      <c r="B649" s="7" t="s">
        <v>510</v>
      </c>
      <c r="C649" s="14" t="s">
        <v>116</v>
      </c>
      <c r="D649" s="14" t="s">
        <v>39</v>
      </c>
      <c r="E649" s="14" t="s">
        <v>61</v>
      </c>
      <c r="F649" s="14" t="s">
        <v>52</v>
      </c>
      <c r="G649" s="14" t="s">
        <v>68</v>
      </c>
      <c r="H649" s="14">
        <v>1</v>
      </c>
      <c r="I649" s="2">
        <v>1080</v>
      </c>
      <c r="J649" s="3">
        <v>20</v>
      </c>
      <c r="K649" s="2">
        <v>864</v>
      </c>
      <c r="L649" s="2">
        <v>604</v>
      </c>
      <c r="M649" s="2">
        <v>260</v>
      </c>
      <c r="N649" s="14" t="s">
        <v>41</v>
      </c>
      <c r="O649" s="14">
        <v>5</v>
      </c>
      <c r="V649" s="2"/>
    </row>
    <row r="650" spans="1:22">
      <c r="A650">
        <v>10687</v>
      </c>
      <c r="B650" s="7" t="s">
        <v>387</v>
      </c>
      <c r="C650" s="14" t="s">
        <v>130</v>
      </c>
      <c r="D650" s="14" t="s">
        <v>39</v>
      </c>
      <c r="E650" s="14" t="s">
        <v>58</v>
      </c>
      <c r="F650" s="14" t="s">
        <v>55</v>
      </c>
      <c r="G650" s="14" t="s">
        <v>66</v>
      </c>
      <c r="H650" s="14">
        <v>13</v>
      </c>
      <c r="I650" s="2">
        <v>1050</v>
      </c>
      <c r="J650" s="3">
        <v>20</v>
      </c>
      <c r="K650" s="2">
        <v>10920</v>
      </c>
      <c r="L650" s="2">
        <v>6115</v>
      </c>
      <c r="M650" s="2">
        <v>4805</v>
      </c>
      <c r="N650" s="14" t="s">
        <v>44</v>
      </c>
      <c r="O650" s="14">
        <v>4</v>
      </c>
      <c r="V650" s="2"/>
    </row>
    <row r="651" spans="1:22">
      <c r="A651">
        <v>10688</v>
      </c>
      <c r="B651" s="7" t="s">
        <v>511</v>
      </c>
      <c r="C651" s="14" t="s">
        <v>125</v>
      </c>
      <c r="D651" s="14" t="s">
        <v>42</v>
      </c>
      <c r="E651" s="14" t="s">
        <v>58</v>
      </c>
      <c r="F651" s="14" t="s">
        <v>40</v>
      </c>
      <c r="G651" s="14" t="s">
        <v>74</v>
      </c>
      <c r="H651" s="14">
        <v>10</v>
      </c>
      <c r="I651" s="2">
        <v>1830</v>
      </c>
      <c r="J651" s="3">
        <v>20</v>
      </c>
      <c r="K651" s="2">
        <v>14640</v>
      </c>
      <c r="L651" s="2">
        <v>12151</v>
      </c>
      <c r="M651" s="2">
        <v>2489</v>
      </c>
      <c r="N651" s="14" t="s">
        <v>44</v>
      </c>
      <c r="O651" s="14">
        <v>4</v>
      </c>
      <c r="V651" s="2"/>
    </row>
    <row r="652" spans="1:22">
      <c r="A652">
        <v>10689</v>
      </c>
      <c r="B652" s="7" t="s">
        <v>512</v>
      </c>
      <c r="C652" s="14" t="s">
        <v>141</v>
      </c>
      <c r="D652" s="14" t="s">
        <v>36</v>
      </c>
      <c r="E652" s="14" t="s">
        <v>61</v>
      </c>
      <c r="F652" s="14" t="s">
        <v>143</v>
      </c>
      <c r="G652" s="14" t="s">
        <v>63</v>
      </c>
      <c r="H652" s="14">
        <v>2</v>
      </c>
      <c r="I652" s="2">
        <v>200</v>
      </c>
      <c r="J652" s="3">
        <v>10</v>
      </c>
      <c r="K652" s="2">
        <v>360</v>
      </c>
      <c r="L652" s="2">
        <v>280</v>
      </c>
      <c r="M652" s="2">
        <v>80</v>
      </c>
      <c r="N652" s="14" t="s">
        <v>41</v>
      </c>
      <c r="O652" s="14">
        <v>5</v>
      </c>
      <c r="V652" s="2"/>
    </row>
    <row r="653" spans="1:22">
      <c r="A653">
        <v>10690</v>
      </c>
      <c r="B653" s="7" t="s">
        <v>513</v>
      </c>
      <c r="C653" s="14" t="s">
        <v>135</v>
      </c>
      <c r="D653" s="14" t="s">
        <v>45</v>
      </c>
      <c r="E653" s="14" t="s">
        <v>61</v>
      </c>
      <c r="F653" s="14" t="s">
        <v>51</v>
      </c>
      <c r="G653" s="14" t="s">
        <v>70</v>
      </c>
      <c r="H653" s="14">
        <v>14</v>
      </c>
      <c r="I653" s="2">
        <v>1110</v>
      </c>
      <c r="J653" s="3">
        <v>0</v>
      </c>
      <c r="K653" s="2">
        <v>15540</v>
      </c>
      <c r="L653" s="2">
        <v>10256</v>
      </c>
      <c r="M653" s="2">
        <v>5284</v>
      </c>
      <c r="N653" s="14" t="s">
        <v>41</v>
      </c>
      <c r="O653" s="14">
        <v>1</v>
      </c>
      <c r="V653" s="2"/>
    </row>
    <row r="654" spans="1:22">
      <c r="A654">
        <v>10692</v>
      </c>
      <c r="B654" s="7" t="s">
        <v>514</v>
      </c>
      <c r="C654" s="14" t="s">
        <v>111</v>
      </c>
      <c r="D654" s="14" t="s">
        <v>42</v>
      </c>
      <c r="E654" s="14" t="s">
        <v>61</v>
      </c>
      <c r="F654" s="14" t="s">
        <v>117</v>
      </c>
      <c r="G654" s="14" t="s">
        <v>72</v>
      </c>
      <c r="H654" s="14">
        <v>10</v>
      </c>
      <c r="I654" s="2">
        <v>710</v>
      </c>
      <c r="J654" s="3">
        <v>5</v>
      </c>
      <c r="K654" s="2">
        <v>6745</v>
      </c>
      <c r="L654" s="2">
        <v>4384</v>
      </c>
      <c r="M654" s="2">
        <v>2361</v>
      </c>
      <c r="N654" s="14" t="s">
        <v>47</v>
      </c>
      <c r="O654" s="14">
        <v>1</v>
      </c>
      <c r="V654" s="2"/>
    </row>
    <row r="655" spans="1:22">
      <c r="A655">
        <v>10693</v>
      </c>
      <c r="B655" s="7" t="s">
        <v>156</v>
      </c>
      <c r="C655" s="14" t="s">
        <v>135</v>
      </c>
      <c r="D655" s="14" t="s">
        <v>45</v>
      </c>
      <c r="E655" s="14" t="s">
        <v>58</v>
      </c>
      <c r="F655" s="14" t="s">
        <v>37</v>
      </c>
      <c r="G655" s="14" t="s">
        <v>70</v>
      </c>
      <c r="H655" s="14">
        <v>6</v>
      </c>
      <c r="I655" s="2">
        <v>1120</v>
      </c>
      <c r="J655" s="3">
        <v>5</v>
      </c>
      <c r="K655" s="2">
        <v>6384</v>
      </c>
      <c r="L655" s="2">
        <v>5426</v>
      </c>
      <c r="M655" s="2">
        <v>958</v>
      </c>
      <c r="N655" s="14" t="s">
        <v>38</v>
      </c>
      <c r="O655" s="14">
        <v>3</v>
      </c>
      <c r="V655" s="2"/>
    </row>
    <row r="656" spans="1:22">
      <c r="A656">
        <v>10694</v>
      </c>
      <c r="B656" s="7" t="s">
        <v>410</v>
      </c>
      <c r="C656" s="14" t="s">
        <v>141</v>
      </c>
      <c r="D656" s="14" t="s">
        <v>42</v>
      </c>
      <c r="E656" s="14" t="s">
        <v>58</v>
      </c>
      <c r="F656" s="14" t="s">
        <v>55</v>
      </c>
      <c r="G656" s="14" t="s">
        <v>74</v>
      </c>
      <c r="H656" s="14">
        <v>4</v>
      </c>
      <c r="I656" s="2">
        <v>290</v>
      </c>
      <c r="J656" s="3">
        <v>5</v>
      </c>
      <c r="K656" s="2">
        <v>1102</v>
      </c>
      <c r="L656" s="2">
        <v>705</v>
      </c>
      <c r="M656" s="2">
        <v>397</v>
      </c>
      <c r="N656" s="14" t="s">
        <v>41</v>
      </c>
      <c r="O656" s="14">
        <v>1</v>
      </c>
      <c r="V656" s="2"/>
    </row>
    <row r="657" spans="1:22">
      <c r="A657">
        <v>10695</v>
      </c>
      <c r="B657" s="7" t="s">
        <v>236</v>
      </c>
      <c r="C657" s="14" t="s">
        <v>125</v>
      </c>
      <c r="D657" s="14" t="s">
        <v>39</v>
      </c>
      <c r="E657" s="14" t="s">
        <v>61</v>
      </c>
      <c r="F657" s="14" t="s">
        <v>46</v>
      </c>
      <c r="G657" s="14" t="s">
        <v>64</v>
      </c>
      <c r="H657" s="14">
        <v>11</v>
      </c>
      <c r="I657" s="2">
        <v>1770</v>
      </c>
      <c r="J657" s="3">
        <v>5</v>
      </c>
      <c r="K657" s="2">
        <v>18496.5</v>
      </c>
      <c r="L657" s="2">
        <v>14057</v>
      </c>
      <c r="M657" s="2">
        <v>4439.5</v>
      </c>
      <c r="N657" s="14" t="s">
        <v>47</v>
      </c>
      <c r="O657" s="14">
        <v>4</v>
      </c>
      <c r="V657" s="2"/>
    </row>
    <row r="658" spans="1:22">
      <c r="A658">
        <v>10696</v>
      </c>
      <c r="B658" s="7" t="s">
        <v>282</v>
      </c>
      <c r="C658" s="14" t="s">
        <v>137</v>
      </c>
      <c r="D658" s="14" t="s">
        <v>39</v>
      </c>
      <c r="E658" s="14" t="s">
        <v>58</v>
      </c>
      <c r="F658" s="14" t="s">
        <v>37</v>
      </c>
      <c r="G658" s="14" t="s">
        <v>68</v>
      </c>
      <c r="H658" s="14">
        <v>6</v>
      </c>
      <c r="I658" s="2">
        <v>260</v>
      </c>
      <c r="J658" s="3">
        <v>15</v>
      </c>
      <c r="K658" s="2">
        <v>1326</v>
      </c>
      <c r="L658" s="2">
        <v>822</v>
      </c>
      <c r="M658" s="2">
        <v>504</v>
      </c>
      <c r="N658" s="14" t="s">
        <v>47</v>
      </c>
      <c r="O658" s="14">
        <v>1</v>
      </c>
      <c r="V658" s="2"/>
    </row>
    <row r="659" spans="1:22">
      <c r="A659">
        <v>10697</v>
      </c>
      <c r="B659" s="7" t="s">
        <v>132</v>
      </c>
      <c r="C659" s="14" t="s">
        <v>147</v>
      </c>
      <c r="D659" s="14" t="s">
        <v>45</v>
      </c>
      <c r="E659" s="14" t="s">
        <v>58</v>
      </c>
      <c r="F659" s="14" t="s">
        <v>40</v>
      </c>
      <c r="G659" s="14" t="s">
        <v>72</v>
      </c>
      <c r="H659" s="14">
        <v>13</v>
      </c>
      <c r="I659" s="2">
        <v>1160</v>
      </c>
      <c r="J659" s="3">
        <v>0</v>
      </c>
      <c r="K659" s="2">
        <v>15080</v>
      </c>
      <c r="L659" s="2">
        <v>8294</v>
      </c>
      <c r="M659" s="2">
        <v>6786</v>
      </c>
      <c r="N659" s="14" t="s">
        <v>41</v>
      </c>
      <c r="O659" s="14">
        <v>3</v>
      </c>
      <c r="V659" s="2"/>
    </row>
    <row r="660" spans="1:22">
      <c r="A660">
        <v>10698</v>
      </c>
      <c r="B660" s="7" t="s">
        <v>239</v>
      </c>
      <c r="C660" s="14" t="s">
        <v>111</v>
      </c>
      <c r="D660" s="14" t="s">
        <v>45</v>
      </c>
      <c r="E660" s="14" t="s">
        <v>56</v>
      </c>
      <c r="F660" s="14" t="s">
        <v>57</v>
      </c>
      <c r="G660" s="14" t="s">
        <v>63</v>
      </c>
      <c r="H660" s="14">
        <v>13</v>
      </c>
      <c r="I660" s="2">
        <v>1860</v>
      </c>
      <c r="J660" s="3">
        <v>15</v>
      </c>
      <c r="K660" s="2">
        <v>20553</v>
      </c>
      <c r="L660" s="2">
        <v>12126</v>
      </c>
      <c r="M660" s="2">
        <v>8427</v>
      </c>
      <c r="N660" s="14" t="s">
        <v>44</v>
      </c>
      <c r="O660" s="14">
        <v>4</v>
      </c>
      <c r="V660" s="2"/>
    </row>
    <row r="661" spans="1:22">
      <c r="A661">
        <v>10699</v>
      </c>
      <c r="B661" s="7" t="s">
        <v>515</v>
      </c>
      <c r="C661" s="14" t="s">
        <v>125</v>
      </c>
      <c r="D661" s="14" t="s">
        <v>42</v>
      </c>
      <c r="E661" s="14" t="s">
        <v>56</v>
      </c>
      <c r="F661" s="14" t="s">
        <v>131</v>
      </c>
      <c r="G661" s="14" t="s">
        <v>70</v>
      </c>
      <c r="H661" s="14">
        <v>4</v>
      </c>
      <c r="I661" s="2">
        <v>1440</v>
      </c>
      <c r="J661" s="3">
        <v>15</v>
      </c>
      <c r="K661" s="2">
        <v>4896</v>
      </c>
      <c r="L661" s="2">
        <v>3525</v>
      </c>
      <c r="M661" s="2">
        <v>1371</v>
      </c>
      <c r="N661" s="14" t="s">
        <v>38</v>
      </c>
      <c r="O661" s="14">
        <v>2</v>
      </c>
      <c r="V661" s="2"/>
    </row>
    <row r="662" spans="1:22">
      <c r="A662">
        <v>10700</v>
      </c>
      <c r="B662" s="7" t="s">
        <v>516</v>
      </c>
      <c r="C662" s="14" t="s">
        <v>111</v>
      </c>
      <c r="D662" s="14" t="s">
        <v>42</v>
      </c>
      <c r="E662" s="14" t="s">
        <v>58</v>
      </c>
      <c r="F662" s="14" t="s">
        <v>40</v>
      </c>
      <c r="G662" s="14" t="s">
        <v>70</v>
      </c>
      <c r="H662" s="14">
        <v>6</v>
      </c>
      <c r="I662" s="2">
        <v>1560</v>
      </c>
      <c r="J662" s="3">
        <v>15</v>
      </c>
      <c r="K662" s="2">
        <v>7956</v>
      </c>
      <c r="L662" s="2">
        <v>5330</v>
      </c>
      <c r="M662" s="2">
        <v>2626</v>
      </c>
      <c r="N662" s="14" t="s">
        <v>38</v>
      </c>
      <c r="O662" s="14">
        <v>5</v>
      </c>
      <c r="V662" s="2"/>
    </row>
    <row r="663" spans="1:22">
      <c r="A663">
        <v>10701</v>
      </c>
      <c r="B663" s="7" t="s">
        <v>517</v>
      </c>
      <c r="C663" s="14" t="s">
        <v>130</v>
      </c>
      <c r="D663" s="14" t="s">
        <v>39</v>
      </c>
      <c r="E663" s="14" t="s">
        <v>61</v>
      </c>
      <c r="F663" s="14" t="s">
        <v>52</v>
      </c>
      <c r="G663" s="14" t="s">
        <v>64</v>
      </c>
      <c r="H663" s="14">
        <v>11</v>
      </c>
      <c r="I663" s="2">
        <v>1530</v>
      </c>
      <c r="J663" s="3">
        <v>10</v>
      </c>
      <c r="K663" s="2">
        <v>15147</v>
      </c>
      <c r="L663" s="2">
        <v>9239</v>
      </c>
      <c r="M663" s="2">
        <v>5908</v>
      </c>
      <c r="N663" s="14" t="s">
        <v>47</v>
      </c>
      <c r="O663" s="14">
        <v>5</v>
      </c>
      <c r="V663" s="2"/>
    </row>
    <row r="664" spans="1:22">
      <c r="A664">
        <v>10702</v>
      </c>
      <c r="B664" s="7" t="s">
        <v>491</v>
      </c>
      <c r="C664" s="14" t="s">
        <v>130</v>
      </c>
      <c r="D664" s="14" t="s">
        <v>45</v>
      </c>
      <c r="E664" s="14" t="s">
        <v>61</v>
      </c>
      <c r="F664" s="14" t="s">
        <v>51</v>
      </c>
      <c r="G664" s="14" t="s">
        <v>68</v>
      </c>
      <c r="H664" s="14">
        <v>9</v>
      </c>
      <c r="I664" s="2">
        <v>1260</v>
      </c>
      <c r="J664" s="3">
        <v>15</v>
      </c>
      <c r="K664" s="2">
        <v>9639</v>
      </c>
      <c r="L664" s="2">
        <v>5687</v>
      </c>
      <c r="M664" s="2">
        <v>3952</v>
      </c>
      <c r="N664" s="14" t="s">
        <v>38</v>
      </c>
      <c r="O664" s="14">
        <v>5</v>
      </c>
      <c r="V664" s="2"/>
    </row>
    <row r="665" spans="1:22">
      <c r="A665">
        <v>10703</v>
      </c>
      <c r="B665" s="7" t="s">
        <v>294</v>
      </c>
      <c r="C665" s="14" t="s">
        <v>125</v>
      </c>
      <c r="D665" s="14" t="s">
        <v>36</v>
      </c>
      <c r="E665" s="14" t="s">
        <v>58</v>
      </c>
      <c r="F665" s="14" t="s">
        <v>55</v>
      </c>
      <c r="G665" s="14" t="s">
        <v>74</v>
      </c>
      <c r="H665" s="14">
        <v>14</v>
      </c>
      <c r="I665" s="2">
        <v>1250</v>
      </c>
      <c r="J665" s="3">
        <v>15</v>
      </c>
      <c r="K665" s="2">
        <v>14875</v>
      </c>
      <c r="L665" s="2">
        <v>9817</v>
      </c>
      <c r="M665" s="2">
        <v>5058</v>
      </c>
      <c r="N665" s="14" t="s">
        <v>47</v>
      </c>
      <c r="O665" s="14">
        <v>1</v>
      </c>
      <c r="V665" s="2"/>
    </row>
    <row r="666" spans="1:22">
      <c r="A666">
        <v>10704</v>
      </c>
      <c r="B666" s="7" t="s">
        <v>272</v>
      </c>
      <c r="C666" s="14" t="s">
        <v>141</v>
      </c>
      <c r="D666" s="14" t="s">
        <v>42</v>
      </c>
      <c r="E666" s="14" t="s">
        <v>61</v>
      </c>
      <c r="F666" s="14" t="s">
        <v>51</v>
      </c>
      <c r="G666" s="14" t="s">
        <v>66</v>
      </c>
      <c r="H666" s="14">
        <v>14</v>
      </c>
      <c r="I666" s="2">
        <v>1960</v>
      </c>
      <c r="J666" s="3">
        <v>0</v>
      </c>
      <c r="K666" s="2">
        <v>27440</v>
      </c>
      <c r="L666" s="2">
        <v>19482</v>
      </c>
      <c r="M666" s="2">
        <v>7958</v>
      </c>
      <c r="N666" s="14" t="s">
        <v>38</v>
      </c>
      <c r="O666" s="14">
        <v>2</v>
      </c>
      <c r="V666" s="2"/>
    </row>
    <row r="667" spans="1:22">
      <c r="A667">
        <v>10705</v>
      </c>
      <c r="B667" s="7" t="s">
        <v>319</v>
      </c>
      <c r="C667" s="14" t="s">
        <v>111</v>
      </c>
      <c r="D667" s="14" t="s">
        <v>42</v>
      </c>
      <c r="E667" s="14" t="s">
        <v>56</v>
      </c>
      <c r="F667" s="14" t="s">
        <v>50</v>
      </c>
      <c r="G667" s="14" t="s">
        <v>63</v>
      </c>
      <c r="H667" s="14">
        <v>5</v>
      </c>
      <c r="I667" s="2">
        <v>520</v>
      </c>
      <c r="J667" s="3">
        <v>15</v>
      </c>
      <c r="K667" s="2">
        <v>2210</v>
      </c>
      <c r="L667" s="2">
        <v>1502</v>
      </c>
      <c r="M667" s="2">
        <v>708</v>
      </c>
      <c r="N667" s="14" t="s">
        <v>44</v>
      </c>
      <c r="O667" s="14">
        <v>1</v>
      </c>
      <c r="V667" s="2"/>
    </row>
    <row r="668" spans="1:22">
      <c r="A668">
        <v>10706</v>
      </c>
      <c r="B668" s="7" t="s">
        <v>518</v>
      </c>
      <c r="C668" s="14" t="s">
        <v>147</v>
      </c>
      <c r="D668" s="14" t="s">
        <v>39</v>
      </c>
      <c r="E668" s="14" t="s">
        <v>56</v>
      </c>
      <c r="F668" s="14" t="s">
        <v>131</v>
      </c>
      <c r="G668" s="14" t="s">
        <v>72</v>
      </c>
      <c r="H668" s="14">
        <v>15</v>
      </c>
      <c r="I668" s="2">
        <v>730</v>
      </c>
      <c r="J668" s="3">
        <v>5</v>
      </c>
      <c r="K668" s="2">
        <v>10402.5</v>
      </c>
      <c r="L668" s="2">
        <v>7489</v>
      </c>
      <c r="M668" s="2">
        <v>2913.5</v>
      </c>
      <c r="N668" s="14" t="s">
        <v>47</v>
      </c>
      <c r="O668" s="14">
        <v>4</v>
      </c>
      <c r="V668" s="2"/>
    </row>
    <row r="669" spans="1:22">
      <c r="A669">
        <v>10707</v>
      </c>
      <c r="B669" s="7" t="s">
        <v>519</v>
      </c>
      <c r="C669" s="14" t="s">
        <v>120</v>
      </c>
      <c r="D669" s="14" t="s">
        <v>42</v>
      </c>
      <c r="E669" s="14" t="s">
        <v>56</v>
      </c>
      <c r="F669" s="14" t="s">
        <v>57</v>
      </c>
      <c r="G669" s="14" t="s">
        <v>74</v>
      </c>
      <c r="H669" s="14">
        <v>14</v>
      </c>
      <c r="I669" s="2">
        <v>1160</v>
      </c>
      <c r="J669" s="3">
        <v>15</v>
      </c>
      <c r="K669" s="2">
        <v>13804</v>
      </c>
      <c r="L669" s="2">
        <v>9938</v>
      </c>
      <c r="M669" s="2">
        <v>3866</v>
      </c>
      <c r="N669" s="14" t="s">
        <v>44</v>
      </c>
      <c r="O669" s="14">
        <v>1</v>
      </c>
      <c r="V669" s="2"/>
    </row>
    <row r="670" spans="1:22">
      <c r="A670">
        <v>10708</v>
      </c>
      <c r="B670" s="7" t="s">
        <v>519</v>
      </c>
      <c r="C670" s="14" t="s">
        <v>128</v>
      </c>
      <c r="D670" s="14" t="s">
        <v>42</v>
      </c>
      <c r="E670" s="14" t="s">
        <v>58</v>
      </c>
      <c r="F670" s="14" t="s">
        <v>40</v>
      </c>
      <c r="G670" s="14" t="s">
        <v>64</v>
      </c>
      <c r="H670" s="14">
        <v>8</v>
      </c>
      <c r="I670" s="2">
        <v>1370</v>
      </c>
      <c r="J670" s="3">
        <v>15</v>
      </c>
      <c r="K670" s="2">
        <v>9316</v>
      </c>
      <c r="L670" s="2">
        <v>5962</v>
      </c>
      <c r="M670" s="2">
        <v>3354</v>
      </c>
      <c r="N670" s="14" t="s">
        <v>41</v>
      </c>
      <c r="O670" s="14">
        <v>2</v>
      </c>
      <c r="V670" s="2"/>
    </row>
    <row r="671" spans="1:22">
      <c r="A671">
        <v>10709</v>
      </c>
      <c r="B671" s="7" t="s">
        <v>520</v>
      </c>
      <c r="C671" s="14" t="s">
        <v>135</v>
      </c>
      <c r="D671" s="14" t="s">
        <v>42</v>
      </c>
      <c r="E671" s="14" t="s">
        <v>58</v>
      </c>
      <c r="F671" s="14" t="s">
        <v>40</v>
      </c>
      <c r="G671" s="14" t="s">
        <v>70</v>
      </c>
      <c r="H671" s="14">
        <v>8</v>
      </c>
      <c r="I671" s="2">
        <v>1290</v>
      </c>
      <c r="J671" s="3">
        <v>10</v>
      </c>
      <c r="K671" s="2">
        <v>9288</v>
      </c>
      <c r="L671" s="2">
        <v>6315</v>
      </c>
      <c r="M671" s="2">
        <v>2973</v>
      </c>
      <c r="N671" s="14" t="s">
        <v>47</v>
      </c>
      <c r="O671" s="14">
        <v>2</v>
      </c>
      <c r="V671" s="2"/>
    </row>
    <row r="672" spans="1:22">
      <c r="A672">
        <v>10710</v>
      </c>
      <c r="B672" s="7" t="s">
        <v>408</v>
      </c>
      <c r="C672" s="14" t="s">
        <v>147</v>
      </c>
      <c r="D672" s="14" t="s">
        <v>42</v>
      </c>
      <c r="E672" s="14" t="s">
        <v>58</v>
      </c>
      <c r="F672" s="14" t="s">
        <v>40</v>
      </c>
      <c r="G672" s="14" t="s">
        <v>72</v>
      </c>
      <c r="H672" s="14">
        <v>9</v>
      </c>
      <c r="I672" s="2">
        <v>390</v>
      </c>
      <c r="J672" s="3">
        <v>15</v>
      </c>
      <c r="K672" s="2">
        <v>2983.5</v>
      </c>
      <c r="L672" s="2">
        <v>1640</v>
      </c>
      <c r="M672" s="2">
        <v>1343.5</v>
      </c>
      <c r="N672" s="14" t="s">
        <v>41</v>
      </c>
      <c r="O672" s="14">
        <v>2</v>
      </c>
      <c r="V672" s="2"/>
    </row>
    <row r="673" spans="1:22">
      <c r="A673">
        <v>10711</v>
      </c>
      <c r="B673" s="7" t="s">
        <v>242</v>
      </c>
      <c r="C673" s="14" t="s">
        <v>111</v>
      </c>
      <c r="D673" s="14" t="s">
        <v>45</v>
      </c>
      <c r="E673" s="14" t="s">
        <v>61</v>
      </c>
      <c r="F673" s="14" t="s">
        <v>52</v>
      </c>
      <c r="G673" s="14" t="s">
        <v>64</v>
      </c>
      <c r="H673" s="14">
        <v>7</v>
      </c>
      <c r="I673" s="2">
        <v>400</v>
      </c>
      <c r="J673" s="3">
        <v>5</v>
      </c>
      <c r="K673" s="2">
        <v>2660</v>
      </c>
      <c r="L673" s="2">
        <v>2101</v>
      </c>
      <c r="M673" s="2">
        <v>559</v>
      </c>
      <c r="N673" s="14" t="s">
        <v>41</v>
      </c>
      <c r="O673" s="14">
        <v>5</v>
      </c>
      <c r="V673" s="2"/>
    </row>
    <row r="674" spans="1:22">
      <c r="A674">
        <v>10712</v>
      </c>
      <c r="B674" s="7" t="s">
        <v>521</v>
      </c>
      <c r="C674" s="14" t="s">
        <v>137</v>
      </c>
      <c r="D674" s="14" t="s">
        <v>36</v>
      </c>
      <c r="E674" s="14" t="s">
        <v>56</v>
      </c>
      <c r="F674" s="14" t="s">
        <v>50</v>
      </c>
      <c r="G674" s="14" t="s">
        <v>74</v>
      </c>
      <c r="H674" s="14">
        <v>9</v>
      </c>
      <c r="I674" s="2">
        <v>390</v>
      </c>
      <c r="J674" s="3">
        <v>20</v>
      </c>
      <c r="K674" s="2">
        <v>2808</v>
      </c>
      <c r="L674" s="2">
        <v>1825</v>
      </c>
      <c r="M674" s="2">
        <v>983</v>
      </c>
      <c r="N674" s="14" t="s">
        <v>44</v>
      </c>
      <c r="O674" s="14">
        <v>3</v>
      </c>
      <c r="V674" s="2"/>
    </row>
    <row r="675" spans="1:22">
      <c r="A675">
        <v>10713</v>
      </c>
      <c r="B675" s="7" t="s">
        <v>333</v>
      </c>
      <c r="C675" s="14" t="s">
        <v>135</v>
      </c>
      <c r="D675" s="14" t="s">
        <v>42</v>
      </c>
      <c r="E675" s="14" t="s">
        <v>61</v>
      </c>
      <c r="F675" s="14" t="s">
        <v>46</v>
      </c>
      <c r="G675" s="14" t="s">
        <v>64</v>
      </c>
      <c r="H675" s="14">
        <v>10</v>
      </c>
      <c r="I675" s="2">
        <v>550</v>
      </c>
      <c r="J675" s="3">
        <v>5</v>
      </c>
      <c r="K675" s="2">
        <v>5225</v>
      </c>
      <c r="L675" s="2">
        <v>3814</v>
      </c>
      <c r="M675" s="2">
        <v>1411</v>
      </c>
      <c r="N675" s="14" t="s">
        <v>47</v>
      </c>
      <c r="O675" s="14">
        <v>2</v>
      </c>
      <c r="V675" s="2"/>
    </row>
    <row r="676" spans="1:22">
      <c r="A676">
        <v>10714</v>
      </c>
      <c r="B676" s="7" t="s">
        <v>326</v>
      </c>
      <c r="C676" s="14" t="s">
        <v>135</v>
      </c>
      <c r="D676" s="14" t="s">
        <v>45</v>
      </c>
      <c r="E676" s="14" t="s">
        <v>58</v>
      </c>
      <c r="F676" s="14" t="s">
        <v>37</v>
      </c>
      <c r="G676" s="14" t="s">
        <v>72</v>
      </c>
      <c r="H676" s="14">
        <v>5</v>
      </c>
      <c r="I676" s="2">
        <v>1950</v>
      </c>
      <c r="J676" s="3">
        <v>0</v>
      </c>
      <c r="K676" s="2">
        <v>9750</v>
      </c>
      <c r="L676" s="2">
        <v>7702</v>
      </c>
      <c r="M676" s="2">
        <v>2048</v>
      </c>
      <c r="N676" s="14" t="s">
        <v>38</v>
      </c>
      <c r="O676" s="14">
        <v>3</v>
      </c>
      <c r="V676" s="2"/>
    </row>
    <row r="677" spans="1:22">
      <c r="A677">
        <v>10715</v>
      </c>
      <c r="B677" s="7" t="s">
        <v>434</v>
      </c>
      <c r="C677" s="14" t="s">
        <v>128</v>
      </c>
      <c r="D677" s="14" t="s">
        <v>36</v>
      </c>
      <c r="E677" s="14" t="s">
        <v>56</v>
      </c>
      <c r="F677" s="14" t="s">
        <v>57</v>
      </c>
      <c r="G677" s="14" t="s">
        <v>74</v>
      </c>
      <c r="H677" s="14">
        <v>11</v>
      </c>
      <c r="I677" s="2">
        <v>1210</v>
      </c>
      <c r="J677" s="3">
        <v>5</v>
      </c>
      <c r="K677" s="2">
        <v>12644.5</v>
      </c>
      <c r="L677" s="2">
        <v>10115</v>
      </c>
      <c r="M677" s="2">
        <v>2529.5</v>
      </c>
      <c r="N677" s="14" t="s">
        <v>44</v>
      </c>
      <c r="O677" s="14">
        <v>4</v>
      </c>
      <c r="V677" s="2"/>
    </row>
    <row r="678" spans="1:22">
      <c r="A678">
        <v>10716</v>
      </c>
      <c r="B678" s="7" t="s">
        <v>322</v>
      </c>
      <c r="C678" s="14" t="s">
        <v>130</v>
      </c>
      <c r="D678" s="14" t="s">
        <v>45</v>
      </c>
      <c r="E678" s="14" t="s">
        <v>58</v>
      </c>
      <c r="F678" s="14" t="s">
        <v>37</v>
      </c>
      <c r="G678" s="14" t="s">
        <v>68</v>
      </c>
      <c r="H678" s="14">
        <v>5</v>
      </c>
      <c r="I678" s="2">
        <v>1740</v>
      </c>
      <c r="J678" s="3">
        <v>20</v>
      </c>
      <c r="K678" s="2">
        <v>6960</v>
      </c>
      <c r="L678" s="2">
        <v>4941</v>
      </c>
      <c r="M678" s="2">
        <v>2019</v>
      </c>
      <c r="N678" s="14" t="s">
        <v>41</v>
      </c>
      <c r="O678" s="14">
        <v>3</v>
      </c>
      <c r="V678" s="2"/>
    </row>
    <row r="679" spans="1:22">
      <c r="A679">
        <v>10717</v>
      </c>
      <c r="B679" s="7" t="s">
        <v>396</v>
      </c>
      <c r="C679" s="14" t="s">
        <v>130</v>
      </c>
      <c r="D679" s="14" t="s">
        <v>45</v>
      </c>
      <c r="E679" s="14" t="s">
        <v>58</v>
      </c>
      <c r="F679" s="14" t="s">
        <v>40</v>
      </c>
      <c r="G679" s="14" t="s">
        <v>64</v>
      </c>
      <c r="H679" s="14">
        <v>15</v>
      </c>
      <c r="I679" s="2">
        <v>1380</v>
      </c>
      <c r="J679" s="3">
        <v>20</v>
      </c>
      <c r="K679" s="2">
        <v>16560</v>
      </c>
      <c r="L679" s="2">
        <v>10101</v>
      </c>
      <c r="M679" s="2">
        <v>6459</v>
      </c>
      <c r="N679" s="14" t="s">
        <v>47</v>
      </c>
      <c r="O679" s="14">
        <v>1</v>
      </c>
      <c r="V679" s="2"/>
    </row>
    <row r="680" spans="1:22">
      <c r="A680">
        <v>10718</v>
      </c>
      <c r="B680" s="7" t="s">
        <v>286</v>
      </c>
      <c r="C680" s="14" t="s">
        <v>128</v>
      </c>
      <c r="D680" s="14" t="s">
        <v>36</v>
      </c>
      <c r="E680" s="14" t="s">
        <v>61</v>
      </c>
      <c r="F680" s="14" t="s">
        <v>117</v>
      </c>
      <c r="G680" s="14" t="s">
        <v>66</v>
      </c>
      <c r="H680" s="14">
        <v>5</v>
      </c>
      <c r="I680" s="2">
        <v>290</v>
      </c>
      <c r="J680" s="3">
        <v>0</v>
      </c>
      <c r="K680" s="2">
        <v>1450</v>
      </c>
      <c r="L680" s="2">
        <v>1029</v>
      </c>
      <c r="M680" s="2">
        <v>421</v>
      </c>
      <c r="N680" s="14" t="s">
        <v>47</v>
      </c>
      <c r="O680" s="14">
        <v>3</v>
      </c>
      <c r="V680" s="2"/>
    </row>
    <row r="681" spans="1:22">
      <c r="A681">
        <v>10719</v>
      </c>
      <c r="B681" s="7" t="s">
        <v>316</v>
      </c>
      <c r="C681" s="14" t="s">
        <v>141</v>
      </c>
      <c r="D681" s="14" t="s">
        <v>45</v>
      </c>
      <c r="E681" s="14" t="s">
        <v>58</v>
      </c>
      <c r="F681" s="14" t="s">
        <v>43</v>
      </c>
      <c r="G681" s="14" t="s">
        <v>74</v>
      </c>
      <c r="H681" s="14">
        <v>8</v>
      </c>
      <c r="I681" s="2">
        <v>900</v>
      </c>
      <c r="J681" s="3">
        <v>15</v>
      </c>
      <c r="K681" s="2">
        <v>6120</v>
      </c>
      <c r="L681" s="2">
        <v>3549</v>
      </c>
      <c r="M681" s="2">
        <v>2571</v>
      </c>
      <c r="N681" s="14" t="s">
        <v>44</v>
      </c>
      <c r="O681" s="14">
        <v>3</v>
      </c>
      <c r="V681" s="2"/>
    </row>
    <row r="682" spans="1:22">
      <c r="A682">
        <v>10720</v>
      </c>
      <c r="B682" s="7" t="s">
        <v>508</v>
      </c>
      <c r="C682" s="14" t="s">
        <v>141</v>
      </c>
      <c r="D682" s="14" t="s">
        <v>36</v>
      </c>
      <c r="E682" s="14" t="s">
        <v>58</v>
      </c>
      <c r="F682" s="14" t="s">
        <v>43</v>
      </c>
      <c r="G682" s="14" t="s">
        <v>64</v>
      </c>
      <c r="H682" s="14">
        <v>12</v>
      </c>
      <c r="I682" s="2">
        <v>800</v>
      </c>
      <c r="J682" s="3">
        <v>10</v>
      </c>
      <c r="K682" s="2">
        <v>8640</v>
      </c>
      <c r="L682" s="2">
        <v>5529</v>
      </c>
      <c r="M682" s="2">
        <v>3111</v>
      </c>
      <c r="N682" s="14" t="s">
        <v>47</v>
      </c>
      <c r="O682" s="14">
        <v>5</v>
      </c>
      <c r="V682" s="2"/>
    </row>
    <row r="683" spans="1:22">
      <c r="A683">
        <v>10721</v>
      </c>
      <c r="B683" s="7" t="s">
        <v>236</v>
      </c>
      <c r="C683" s="14" t="s">
        <v>137</v>
      </c>
      <c r="D683" s="14" t="s">
        <v>42</v>
      </c>
      <c r="E683" s="14" t="s">
        <v>61</v>
      </c>
      <c r="F683" s="14" t="s">
        <v>52</v>
      </c>
      <c r="G683" s="14" t="s">
        <v>70</v>
      </c>
      <c r="H683" s="14">
        <v>14</v>
      </c>
      <c r="I683" s="2">
        <v>970</v>
      </c>
      <c r="J683" s="3">
        <v>20</v>
      </c>
      <c r="K683" s="2">
        <v>10864</v>
      </c>
      <c r="L683" s="2">
        <v>7930</v>
      </c>
      <c r="M683" s="2">
        <v>2934</v>
      </c>
      <c r="N683" s="14" t="s">
        <v>47</v>
      </c>
      <c r="O683" s="14">
        <v>4</v>
      </c>
      <c r="V683" s="2"/>
    </row>
    <row r="684" spans="1:22">
      <c r="A684">
        <v>10722</v>
      </c>
      <c r="B684" s="7" t="s">
        <v>522</v>
      </c>
      <c r="C684" s="14" t="s">
        <v>137</v>
      </c>
      <c r="D684" s="14" t="s">
        <v>45</v>
      </c>
      <c r="E684" s="14" t="s">
        <v>58</v>
      </c>
      <c r="F684" s="14" t="s">
        <v>55</v>
      </c>
      <c r="G684" s="14" t="s">
        <v>63</v>
      </c>
      <c r="H684" s="14">
        <v>14</v>
      </c>
      <c r="I684" s="2">
        <v>1090</v>
      </c>
      <c r="J684" s="3">
        <v>0</v>
      </c>
      <c r="K684" s="2">
        <v>15260</v>
      </c>
      <c r="L684" s="2">
        <v>8698</v>
      </c>
      <c r="M684" s="2">
        <v>6562</v>
      </c>
      <c r="N684" s="14" t="s">
        <v>38</v>
      </c>
      <c r="O684" s="14">
        <v>4</v>
      </c>
      <c r="V684" s="2"/>
    </row>
    <row r="685" spans="1:22">
      <c r="A685">
        <v>10723</v>
      </c>
      <c r="B685" s="7" t="s">
        <v>523</v>
      </c>
      <c r="C685" s="14" t="s">
        <v>116</v>
      </c>
      <c r="D685" s="14" t="s">
        <v>39</v>
      </c>
      <c r="E685" s="14" t="s">
        <v>58</v>
      </c>
      <c r="F685" s="14" t="s">
        <v>40</v>
      </c>
      <c r="G685" s="14" t="s">
        <v>63</v>
      </c>
      <c r="H685" s="14">
        <v>14</v>
      </c>
      <c r="I685" s="2">
        <v>1930</v>
      </c>
      <c r="J685" s="3">
        <v>0</v>
      </c>
      <c r="K685" s="2">
        <v>27020</v>
      </c>
      <c r="L685" s="2">
        <v>19454</v>
      </c>
      <c r="M685" s="2">
        <v>7566</v>
      </c>
      <c r="N685" s="14" t="s">
        <v>41</v>
      </c>
      <c r="O685" s="14">
        <v>5</v>
      </c>
      <c r="V685" s="2"/>
    </row>
    <row r="686" spans="1:22">
      <c r="A686">
        <v>10724</v>
      </c>
      <c r="B686" s="7" t="s">
        <v>389</v>
      </c>
      <c r="C686" s="14" t="s">
        <v>111</v>
      </c>
      <c r="D686" s="14" t="s">
        <v>42</v>
      </c>
      <c r="E686" s="14" t="s">
        <v>58</v>
      </c>
      <c r="F686" s="14" t="s">
        <v>55</v>
      </c>
      <c r="G686" s="14" t="s">
        <v>66</v>
      </c>
      <c r="H686" s="14">
        <v>13</v>
      </c>
      <c r="I686" s="2">
        <v>310</v>
      </c>
      <c r="J686" s="3">
        <v>5</v>
      </c>
      <c r="K686" s="2">
        <v>3828.5</v>
      </c>
      <c r="L686" s="2">
        <v>2220</v>
      </c>
      <c r="M686" s="2">
        <v>1608.5</v>
      </c>
      <c r="N686" s="14" t="s">
        <v>44</v>
      </c>
      <c r="O686" s="14">
        <v>5</v>
      </c>
      <c r="V686" s="2"/>
    </row>
    <row r="687" spans="1:22">
      <c r="A687">
        <v>10725</v>
      </c>
      <c r="B687" s="7" t="s">
        <v>332</v>
      </c>
      <c r="C687" s="14" t="s">
        <v>111</v>
      </c>
      <c r="D687" s="14" t="s">
        <v>45</v>
      </c>
      <c r="E687" s="14" t="s">
        <v>58</v>
      </c>
      <c r="F687" s="14" t="s">
        <v>43</v>
      </c>
      <c r="G687" s="14" t="s">
        <v>70</v>
      </c>
      <c r="H687" s="14">
        <v>12</v>
      </c>
      <c r="I687" s="2">
        <v>1560</v>
      </c>
      <c r="J687" s="3">
        <v>5</v>
      </c>
      <c r="K687" s="2">
        <v>17784</v>
      </c>
      <c r="L687" s="2">
        <v>12448</v>
      </c>
      <c r="M687" s="2">
        <v>5336</v>
      </c>
      <c r="N687" s="14" t="s">
        <v>47</v>
      </c>
      <c r="O687" s="14">
        <v>4</v>
      </c>
      <c r="V687" s="2"/>
    </row>
    <row r="688" spans="1:22">
      <c r="A688">
        <v>10726</v>
      </c>
      <c r="B688" s="7" t="s">
        <v>524</v>
      </c>
      <c r="C688" s="14" t="s">
        <v>137</v>
      </c>
      <c r="D688" s="14" t="s">
        <v>36</v>
      </c>
      <c r="E688" s="14" t="s">
        <v>61</v>
      </c>
      <c r="F688" s="14" t="s">
        <v>46</v>
      </c>
      <c r="G688" s="14" t="s">
        <v>64</v>
      </c>
      <c r="H688" s="14">
        <v>10</v>
      </c>
      <c r="I688" s="2">
        <v>370</v>
      </c>
      <c r="J688" s="3">
        <v>5</v>
      </c>
      <c r="K688" s="2">
        <v>3515</v>
      </c>
      <c r="L688" s="2">
        <v>2706</v>
      </c>
      <c r="M688" s="2">
        <v>809</v>
      </c>
      <c r="N688" s="14" t="s">
        <v>47</v>
      </c>
      <c r="O688" s="14">
        <v>2</v>
      </c>
      <c r="V688" s="2"/>
    </row>
    <row r="689" spans="1:22">
      <c r="A689">
        <v>10727</v>
      </c>
      <c r="B689" s="7" t="s">
        <v>525</v>
      </c>
      <c r="C689" s="14" t="s">
        <v>116</v>
      </c>
      <c r="D689" s="14" t="s">
        <v>45</v>
      </c>
      <c r="E689" s="14" t="s">
        <v>61</v>
      </c>
      <c r="F689" s="14" t="s">
        <v>51</v>
      </c>
      <c r="G689" s="14" t="s">
        <v>70</v>
      </c>
      <c r="H689" s="14">
        <v>3</v>
      </c>
      <c r="I689" s="2">
        <v>1560</v>
      </c>
      <c r="J689" s="3">
        <v>0</v>
      </c>
      <c r="K689" s="2">
        <v>4680</v>
      </c>
      <c r="L689" s="2">
        <v>3931</v>
      </c>
      <c r="M689" s="2">
        <v>749</v>
      </c>
      <c r="N689" s="14" t="s">
        <v>44</v>
      </c>
      <c r="O689" s="14">
        <v>1</v>
      </c>
      <c r="V689" s="2"/>
    </row>
    <row r="690" spans="1:22">
      <c r="A690">
        <v>10728</v>
      </c>
      <c r="B690" s="7" t="s">
        <v>446</v>
      </c>
      <c r="C690" s="14" t="s">
        <v>135</v>
      </c>
      <c r="D690" s="14" t="s">
        <v>45</v>
      </c>
      <c r="E690" s="14" t="s">
        <v>56</v>
      </c>
      <c r="F690" s="14" t="s">
        <v>50</v>
      </c>
      <c r="G690" s="14" t="s">
        <v>68</v>
      </c>
      <c r="H690" s="14">
        <v>9</v>
      </c>
      <c r="I690" s="2">
        <v>420</v>
      </c>
      <c r="J690" s="3">
        <v>10</v>
      </c>
      <c r="K690" s="2">
        <v>3402</v>
      </c>
      <c r="L690" s="2">
        <v>2789</v>
      </c>
      <c r="M690" s="2">
        <v>613</v>
      </c>
      <c r="N690" s="14" t="s">
        <v>47</v>
      </c>
      <c r="O690" s="14">
        <v>1</v>
      </c>
      <c r="V690" s="2"/>
    </row>
    <row r="691" spans="1:22">
      <c r="A691">
        <v>10729</v>
      </c>
      <c r="B691" s="7" t="s">
        <v>73</v>
      </c>
      <c r="C691" s="14" t="s">
        <v>135</v>
      </c>
      <c r="D691" s="14" t="s">
        <v>39</v>
      </c>
      <c r="E691" s="14" t="s">
        <v>61</v>
      </c>
      <c r="F691" s="14" t="s">
        <v>52</v>
      </c>
      <c r="G691" s="14" t="s">
        <v>74</v>
      </c>
      <c r="H691" s="14">
        <v>1</v>
      </c>
      <c r="I691" s="2">
        <v>1150</v>
      </c>
      <c r="J691" s="3">
        <v>0</v>
      </c>
      <c r="K691" s="2">
        <v>1150</v>
      </c>
      <c r="L691" s="2">
        <v>701</v>
      </c>
      <c r="M691" s="2">
        <v>449</v>
      </c>
      <c r="N691" s="14" t="s">
        <v>41</v>
      </c>
      <c r="O691" s="14">
        <v>1</v>
      </c>
      <c r="V691" s="2"/>
    </row>
    <row r="692" spans="1:22">
      <c r="A692">
        <v>10730</v>
      </c>
      <c r="B692" s="7" t="s">
        <v>192</v>
      </c>
      <c r="C692" s="14" t="s">
        <v>141</v>
      </c>
      <c r="D692" s="14" t="s">
        <v>42</v>
      </c>
      <c r="E692" s="14" t="s">
        <v>61</v>
      </c>
      <c r="F692" s="14" t="s">
        <v>52</v>
      </c>
      <c r="G692" s="14" t="s">
        <v>63</v>
      </c>
      <c r="H692" s="14">
        <v>4</v>
      </c>
      <c r="I692" s="2">
        <v>230</v>
      </c>
      <c r="J692" s="3">
        <v>20</v>
      </c>
      <c r="K692" s="2">
        <v>736</v>
      </c>
      <c r="L692" s="2">
        <v>581</v>
      </c>
      <c r="M692" s="2">
        <v>155</v>
      </c>
      <c r="N692" s="14" t="s">
        <v>44</v>
      </c>
      <c r="O692" s="14">
        <v>4</v>
      </c>
      <c r="V692" s="2"/>
    </row>
    <row r="693" spans="1:22">
      <c r="A693">
        <v>10731</v>
      </c>
      <c r="B693" s="7" t="s">
        <v>526</v>
      </c>
      <c r="C693" s="14" t="s">
        <v>141</v>
      </c>
      <c r="D693" s="14" t="s">
        <v>42</v>
      </c>
      <c r="E693" s="14" t="s">
        <v>58</v>
      </c>
      <c r="F693" s="14" t="s">
        <v>37</v>
      </c>
      <c r="G693" s="14" t="s">
        <v>63</v>
      </c>
      <c r="H693" s="14">
        <v>13</v>
      </c>
      <c r="I693" s="2">
        <v>340</v>
      </c>
      <c r="J693" s="3">
        <v>20</v>
      </c>
      <c r="K693" s="2">
        <v>3536</v>
      </c>
      <c r="L693" s="2">
        <v>1980</v>
      </c>
      <c r="M693" s="2">
        <v>1556</v>
      </c>
      <c r="N693" s="14" t="s">
        <v>41</v>
      </c>
      <c r="O693" s="14">
        <v>4</v>
      </c>
      <c r="V693" s="2"/>
    </row>
    <row r="694" spans="1:22">
      <c r="A694">
        <v>10732</v>
      </c>
      <c r="B694" s="7" t="s">
        <v>483</v>
      </c>
      <c r="C694" s="14" t="s">
        <v>141</v>
      </c>
      <c r="D694" s="14" t="s">
        <v>39</v>
      </c>
      <c r="E694" s="14" t="s">
        <v>56</v>
      </c>
      <c r="F694" s="14" t="s">
        <v>50</v>
      </c>
      <c r="G694" s="14" t="s">
        <v>72</v>
      </c>
      <c r="H694" s="14">
        <v>2</v>
      </c>
      <c r="I694" s="2">
        <v>840</v>
      </c>
      <c r="J694" s="3">
        <v>10</v>
      </c>
      <c r="K694" s="2">
        <v>1512</v>
      </c>
      <c r="L694" s="2">
        <v>831</v>
      </c>
      <c r="M694" s="2">
        <v>681</v>
      </c>
      <c r="N694" s="14" t="s">
        <v>41</v>
      </c>
      <c r="O694" s="14">
        <v>2</v>
      </c>
      <c r="V694" s="2"/>
    </row>
    <row r="695" spans="1:22">
      <c r="A695">
        <v>10733</v>
      </c>
      <c r="B695" s="7" t="s">
        <v>527</v>
      </c>
      <c r="C695" s="14" t="s">
        <v>116</v>
      </c>
      <c r="D695" s="14" t="s">
        <v>36</v>
      </c>
      <c r="E695" s="14" t="s">
        <v>58</v>
      </c>
      <c r="F695" s="14" t="s">
        <v>40</v>
      </c>
      <c r="G695" s="14" t="s">
        <v>72</v>
      </c>
      <c r="H695" s="14">
        <v>3</v>
      </c>
      <c r="I695" s="2">
        <v>1070</v>
      </c>
      <c r="J695" s="3">
        <v>0</v>
      </c>
      <c r="K695" s="2">
        <v>3210</v>
      </c>
      <c r="L695" s="2">
        <v>2568</v>
      </c>
      <c r="M695" s="2">
        <v>642</v>
      </c>
      <c r="N695" s="14" t="s">
        <v>44</v>
      </c>
      <c r="O695" s="14">
        <v>2</v>
      </c>
      <c r="V695" s="2"/>
    </row>
    <row r="696" spans="1:22">
      <c r="A696">
        <v>10735</v>
      </c>
      <c r="B696" s="7" t="s">
        <v>438</v>
      </c>
      <c r="C696" s="14" t="s">
        <v>147</v>
      </c>
      <c r="D696" s="14" t="s">
        <v>36</v>
      </c>
      <c r="E696" s="14" t="s">
        <v>58</v>
      </c>
      <c r="F696" s="14" t="s">
        <v>37</v>
      </c>
      <c r="G696" s="14" t="s">
        <v>72</v>
      </c>
      <c r="H696" s="14">
        <v>12</v>
      </c>
      <c r="I696" s="2">
        <v>1090</v>
      </c>
      <c r="J696" s="3">
        <v>20</v>
      </c>
      <c r="K696" s="2">
        <v>10464</v>
      </c>
      <c r="L696" s="2">
        <v>7743</v>
      </c>
      <c r="M696" s="2">
        <v>2721</v>
      </c>
      <c r="N696" s="14" t="s">
        <v>38</v>
      </c>
      <c r="O696" s="14">
        <v>1</v>
      </c>
      <c r="V696" s="2"/>
    </row>
    <row r="697" spans="1:22">
      <c r="A697">
        <v>10736</v>
      </c>
      <c r="B697" s="7" t="s">
        <v>528</v>
      </c>
      <c r="C697" s="14" t="s">
        <v>111</v>
      </c>
      <c r="D697" s="14" t="s">
        <v>36</v>
      </c>
      <c r="E697" s="14" t="s">
        <v>58</v>
      </c>
      <c r="F697" s="14" t="s">
        <v>43</v>
      </c>
      <c r="G697" s="14" t="s">
        <v>72</v>
      </c>
      <c r="H697" s="14">
        <v>12</v>
      </c>
      <c r="I697" s="2">
        <v>480</v>
      </c>
      <c r="J697" s="3">
        <v>15</v>
      </c>
      <c r="K697" s="2">
        <v>4896</v>
      </c>
      <c r="L697" s="2">
        <v>3084</v>
      </c>
      <c r="M697" s="2">
        <v>1812</v>
      </c>
      <c r="N697" s="14" t="s">
        <v>38</v>
      </c>
      <c r="O697" s="14">
        <v>4</v>
      </c>
      <c r="V697" s="2"/>
    </row>
    <row r="698" spans="1:22">
      <c r="A698">
        <v>10737</v>
      </c>
      <c r="B698" s="7" t="s">
        <v>404</v>
      </c>
      <c r="C698" s="14" t="s">
        <v>116</v>
      </c>
      <c r="D698" s="14" t="s">
        <v>42</v>
      </c>
      <c r="E698" s="14" t="s">
        <v>58</v>
      </c>
      <c r="F698" s="14" t="s">
        <v>37</v>
      </c>
      <c r="G698" s="14" t="s">
        <v>64</v>
      </c>
      <c r="H698" s="14">
        <v>12</v>
      </c>
      <c r="I698" s="2">
        <v>980</v>
      </c>
      <c r="J698" s="3">
        <v>15</v>
      </c>
      <c r="K698" s="2">
        <v>9996</v>
      </c>
      <c r="L698" s="2">
        <v>8196</v>
      </c>
      <c r="M698" s="2">
        <v>1800</v>
      </c>
      <c r="N698" s="14" t="s">
        <v>38</v>
      </c>
      <c r="O698" s="14">
        <v>5</v>
      </c>
      <c r="V698" s="2"/>
    </row>
    <row r="699" spans="1:22">
      <c r="A699">
        <v>10738</v>
      </c>
      <c r="B699" s="7" t="s">
        <v>529</v>
      </c>
      <c r="C699" s="14" t="s">
        <v>137</v>
      </c>
      <c r="D699" s="14" t="s">
        <v>39</v>
      </c>
      <c r="E699" s="14" t="s">
        <v>58</v>
      </c>
      <c r="F699" s="14" t="s">
        <v>37</v>
      </c>
      <c r="G699" s="14" t="s">
        <v>72</v>
      </c>
      <c r="H699" s="14">
        <v>4</v>
      </c>
      <c r="I699" s="2">
        <v>1780</v>
      </c>
      <c r="J699" s="3">
        <v>20</v>
      </c>
      <c r="K699" s="2">
        <v>5696</v>
      </c>
      <c r="L699" s="2">
        <v>4784</v>
      </c>
      <c r="M699" s="2">
        <v>912</v>
      </c>
      <c r="N699" s="14" t="s">
        <v>47</v>
      </c>
      <c r="O699" s="14">
        <v>1</v>
      </c>
      <c r="V699" s="2"/>
    </row>
    <row r="700" spans="1:22">
      <c r="A700">
        <v>10739</v>
      </c>
      <c r="B700" s="7" t="s">
        <v>205</v>
      </c>
      <c r="C700" s="14" t="s">
        <v>141</v>
      </c>
      <c r="D700" s="14" t="s">
        <v>42</v>
      </c>
      <c r="E700" s="14" t="s">
        <v>56</v>
      </c>
      <c r="F700" s="14" t="s">
        <v>150</v>
      </c>
      <c r="G700" s="14" t="s">
        <v>72</v>
      </c>
      <c r="H700" s="14">
        <v>9</v>
      </c>
      <c r="I700" s="2">
        <v>1450</v>
      </c>
      <c r="J700" s="3">
        <v>0</v>
      </c>
      <c r="K700" s="2">
        <v>13050</v>
      </c>
      <c r="L700" s="2">
        <v>8091</v>
      </c>
      <c r="M700" s="2">
        <v>4959</v>
      </c>
      <c r="N700" s="14" t="s">
        <v>41</v>
      </c>
      <c r="O700" s="14">
        <v>2</v>
      </c>
      <c r="V700" s="2"/>
    </row>
    <row r="701" spans="1:22">
      <c r="A701">
        <v>10740</v>
      </c>
      <c r="B701" s="7" t="s">
        <v>434</v>
      </c>
      <c r="C701" s="14" t="s">
        <v>141</v>
      </c>
      <c r="D701" s="14" t="s">
        <v>42</v>
      </c>
      <c r="E701" s="14" t="s">
        <v>61</v>
      </c>
      <c r="F701" s="14" t="s">
        <v>52</v>
      </c>
      <c r="G701" s="14" t="s">
        <v>64</v>
      </c>
      <c r="H701" s="14">
        <v>1</v>
      </c>
      <c r="I701" s="2">
        <v>950</v>
      </c>
      <c r="J701" s="3">
        <v>20</v>
      </c>
      <c r="K701" s="2">
        <v>760</v>
      </c>
      <c r="L701" s="2">
        <v>516</v>
      </c>
      <c r="M701" s="2">
        <v>244</v>
      </c>
      <c r="N701" s="14" t="s">
        <v>44</v>
      </c>
      <c r="O701" s="14">
        <v>2</v>
      </c>
      <c r="V701" s="2"/>
    </row>
    <row r="702" spans="1:22">
      <c r="A702">
        <v>10741</v>
      </c>
      <c r="B702" s="7" t="s">
        <v>236</v>
      </c>
      <c r="C702" s="14" t="s">
        <v>125</v>
      </c>
      <c r="D702" s="14" t="s">
        <v>39</v>
      </c>
      <c r="E702" s="14" t="s">
        <v>56</v>
      </c>
      <c r="F702" s="14" t="s">
        <v>131</v>
      </c>
      <c r="G702" s="14" t="s">
        <v>68</v>
      </c>
      <c r="H702" s="14">
        <v>9</v>
      </c>
      <c r="I702" s="2">
        <v>1070</v>
      </c>
      <c r="J702" s="3">
        <v>20</v>
      </c>
      <c r="K702" s="2">
        <v>7704</v>
      </c>
      <c r="L702" s="2">
        <v>6240</v>
      </c>
      <c r="M702" s="2">
        <v>1464</v>
      </c>
      <c r="N702" s="14" t="s">
        <v>41</v>
      </c>
      <c r="O702" s="14">
        <v>3</v>
      </c>
      <c r="V702" s="2"/>
    </row>
    <row r="703" spans="1:22">
      <c r="A703">
        <v>10742</v>
      </c>
      <c r="B703" s="7" t="s">
        <v>182</v>
      </c>
      <c r="C703" s="14" t="s">
        <v>116</v>
      </c>
      <c r="D703" s="14" t="s">
        <v>42</v>
      </c>
      <c r="E703" s="14" t="s">
        <v>58</v>
      </c>
      <c r="F703" s="14" t="s">
        <v>43</v>
      </c>
      <c r="G703" s="14" t="s">
        <v>63</v>
      </c>
      <c r="H703" s="14">
        <v>9</v>
      </c>
      <c r="I703" s="2">
        <v>600</v>
      </c>
      <c r="J703" s="3">
        <v>0</v>
      </c>
      <c r="K703" s="2">
        <v>5400</v>
      </c>
      <c r="L703" s="2">
        <v>2970</v>
      </c>
      <c r="M703" s="2">
        <v>2430</v>
      </c>
      <c r="N703" s="14" t="s">
        <v>38</v>
      </c>
      <c r="O703" s="14">
        <v>2</v>
      </c>
      <c r="V703" s="2"/>
    </row>
    <row r="704" spans="1:22">
      <c r="A704">
        <v>10743</v>
      </c>
      <c r="B704" s="7" t="s">
        <v>312</v>
      </c>
      <c r="C704" s="14" t="s">
        <v>147</v>
      </c>
      <c r="D704" s="14" t="s">
        <v>45</v>
      </c>
      <c r="E704" s="14" t="s">
        <v>61</v>
      </c>
      <c r="F704" s="14" t="s">
        <v>143</v>
      </c>
      <c r="G704" s="14" t="s">
        <v>68</v>
      </c>
      <c r="H704" s="14">
        <v>3</v>
      </c>
      <c r="I704" s="2">
        <v>1950</v>
      </c>
      <c r="J704" s="3">
        <v>10</v>
      </c>
      <c r="K704" s="2">
        <v>5265</v>
      </c>
      <c r="L704" s="2">
        <v>4369</v>
      </c>
      <c r="M704" s="2">
        <v>896</v>
      </c>
      <c r="N704" s="14" t="s">
        <v>38</v>
      </c>
      <c r="O704" s="14">
        <v>1</v>
      </c>
      <c r="V704" s="2"/>
    </row>
    <row r="705" spans="1:22">
      <c r="A705">
        <v>10744</v>
      </c>
      <c r="B705" s="7" t="s">
        <v>390</v>
      </c>
      <c r="C705" s="14" t="s">
        <v>147</v>
      </c>
      <c r="D705" s="14" t="s">
        <v>45</v>
      </c>
      <c r="E705" s="14" t="s">
        <v>58</v>
      </c>
      <c r="F705" s="14" t="s">
        <v>43</v>
      </c>
      <c r="G705" s="14" t="s">
        <v>70</v>
      </c>
      <c r="H705" s="14">
        <v>1</v>
      </c>
      <c r="I705" s="2">
        <v>610</v>
      </c>
      <c r="J705" s="3">
        <v>10</v>
      </c>
      <c r="K705" s="2">
        <v>549</v>
      </c>
      <c r="L705" s="2">
        <v>307</v>
      </c>
      <c r="M705" s="2">
        <v>242</v>
      </c>
      <c r="N705" s="14" t="s">
        <v>38</v>
      </c>
      <c r="O705" s="14">
        <v>1</v>
      </c>
      <c r="V705" s="2"/>
    </row>
    <row r="706" spans="1:22">
      <c r="A706">
        <v>10745</v>
      </c>
      <c r="B706" s="7" t="s">
        <v>200</v>
      </c>
      <c r="C706" s="14" t="s">
        <v>141</v>
      </c>
      <c r="D706" s="14" t="s">
        <v>36</v>
      </c>
      <c r="E706" s="14" t="s">
        <v>56</v>
      </c>
      <c r="F706" s="14" t="s">
        <v>131</v>
      </c>
      <c r="G706" s="14" t="s">
        <v>70</v>
      </c>
      <c r="H706" s="14">
        <v>13</v>
      </c>
      <c r="I706" s="2">
        <v>660</v>
      </c>
      <c r="J706" s="3">
        <v>0</v>
      </c>
      <c r="K706" s="2">
        <v>8580</v>
      </c>
      <c r="L706" s="2">
        <v>6606</v>
      </c>
      <c r="M706" s="2">
        <v>1974</v>
      </c>
      <c r="N706" s="14" t="s">
        <v>38</v>
      </c>
      <c r="O706" s="14">
        <v>2</v>
      </c>
      <c r="V706" s="2"/>
    </row>
    <row r="707" spans="1:22">
      <c r="A707">
        <v>10746</v>
      </c>
      <c r="B707" s="7" t="s">
        <v>145</v>
      </c>
      <c r="C707" s="14" t="s">
        <v>137</v>
      </c>
      <c r="D707" s="14" t="s">
        <v>36</v>
      </c>
      <c r="E707" s="14" t="s">
        <v>61</v>
      </c>
      <c r="F707" s="14" t="s">
        <v>117</v>
      </c>
      <c r="G707" s="14" t="s">
        <v>72</v>
      </c>
      <c r="H707" s="14">
        <v>1</v>
      </c>
      <c r="I707" s="2">
        <v>1680</v>
      </c>
      <c r="J707" s="3">
        <v>15</v>
      </c>
      <c r="K707" s="2">
        <v>1428</v>
      </c>
      <c r="L707" s="2">
        <v>1013</v>
      </c>
      <c r="M707" s="2">
        <v>415</v>
      </c>
      <c r="N707" s="14" t="s">
        <v>38</v>
      </c>
      <c r="O707" s="14">
        <v>3</v>
      </c>
      <c r="V707" s="2"/>
    </row>
    <row r="708" spans="1:22">
      <c r="A708">
        <v>10747</v>
      </c>
      <c r="B708" s="7" t="s">
        <v>483</v>
      </c>
      <c r="C708" s="14" t="s">
        <v>111</v>
      </c>
      <c r="D708" s="14" t="s">
        <v>42</v>
      </c>
      <c r="E708" s="14" t="s">
        <v>56</v>
      </c>
      <c r="F708" s="14" t="s">
        <v>57</v>
      </c>
      <c r="G708" s="14" t="s">
        <v>74</v>
      </c>
      <c r="H708" s="14">
        <v>14</v>
      </c>
      <c r="I708" s="2">
        <v>1310</v>
      </c>
      <c r="J708" s="3">
        <v>15</v>
      </c>
      <c r="K708" s="2">
        <v>15589</v>
      </c>
      <c r="L708" s="2">
        <v>9041</v>
      </c>
      <c r="M708" s="2">
        <v>6548</v>
      </c>
      <c r="N708" s="14" t="s">
        <v>41</v>
      </c>
      <c r="O708" s="14">
        <v>2</v>
      </c>
      <c r="V708" s="2"/>
    </row>
    <row r="709" spans="1:22">
      <c r="A709">
        <v>10748</v>
      </c>
      <c r="B709" s="7" t="s">
        <v>530</v>
      </c>
      <c r="C709" s="14" t="s">
        <v>128</v>
      </c>
      <c r="D709" s="14" t="s">
        <v>45</v>
      </c>
      <c r="E709" s="14" t="s">
        <v>56</v>
      </c>
      <c r="F709" s="14" t="s">
        <v>57</v>
      </c>
      <c r="G709" s="14" t="s">
        <v>64</v>
      </c>
      <c r="H709" s="14">
        <v>15</v>
      </c>
      <c r="I709" s="2">
        <v>1450</v>
      </c>
      <c r="J709" s="3">
        <v>20</v>
      </c>
      <c r="K709" s="2">
        <v>17400</v>
      </c>
      <c r="L709" s="2">
        <v>10266</v>
      </c>
      <c r="M709" s="2">
        <v>7134</v>
      </c>
      <c r="N709" s="14" t="s">
        <v>41</v>
      </c>
      <c r="O709" s="14">
        <v>1</v>
      </c>
      <c r="V709" s="2"/>
    </row>
    <row r="710" spans="1:22">
      <c r="A710">
        <v>10749</v>
      </c>
      <c r="B710" s="7" t="s">
        <v>342</v>
      </c>
      <c r="C710" s="14" t="s">
        <v>141</v>
      </c>
      <c r="D710" s="14" t="s">
        <v>42</v>
      </c>
      <c r="E710" s="14" t="s">
        <v>56</v>
      </c>
      <c r="F710" s="14" t="s">
        <v>49</v>
      </c>
      <c r="G710" s="14" t="s">
        <v>72</v>
      </c>
      <c r="H710" s="14">
        <v>9</v>
      </c>
      <c r="I710" s="2">
        <v>930</v>
      </c>
      <c r="J710" s="3">
        <v>5</v>
      </c>
      <c r="K710" s="2">
        <v>7951.5</v>
      </c>
      <c r="L710" s="2">
        <v>6361</v>
      </c>
      <c r="M710" s="2">
        <v>1590.5</v>
      </c>
      <c r="N710" s="14" t="s">
        <v>41</v>
      </c>
      <c r="O710" s="14">
        <v>2</v>
      </c>
      <c r="V710" s="2"/>
    </row>
    <row r="711" spans="1:22">
      <c r="A711">
        <v>10750</v>
      </c>
      <c r="B711" s="7" t="s">
        <v>438</v>
      </c>
      <c r="C711" s="14" t="s">
        <v>135</v>
      </c>
      <c r="D711" s="14" t="s">
        <v>36</v>
      </c>
      <c r="E711" s="14" t="s">
        <v>58</v>
      </c>
      <c r="F711" s="14" t="s">
        <v>37</v>
      </c>
      <c r="G711" s="14" t="s">
        <v>68</v>
      </c>
      <c r="H711" s="14">
        <v>9</v>
      </c>
      <c r="I711" s="2">
        <v>1800</v>
      </c>
      <c r="J711" s="3">
        <v>10</v>
      </c>
      <c r="K711" s="2">
        <v>14580</v>
      </c>
      <c r="L711" s="2">
        <v>11080</v>
      </c>
      <c r="M711" s="2">
        <v>3500</v>
      </c>
      <c r="N711" s="14" t="s">
        <v>41</v>
      </c>
      <c r="O711" s="14">
        <v>3</v>
      </c>
      <c r="V711" s="2"/>
    </row>
    <row r="712" spans="1:22">
      <c r="A712">
        <v>10751</v>
      </c>
      <c r="B712" s="7" t="s">
        <v>438</v>
      </c>
      <c r="C712" s="14" t="s">
        <v>130</v>
      </c>
      <c r="D712" s="14" t="s">
        <v>36</v>
      </c>
      <c r="E712" s="14" t="s">
        <v>56</v>
      </c>
      <c r="F712" s="14" t="s">
        <v>49</v>
      </c>
      <c r="G712" s="14" t="s">
        <v>66</v>
      </c>
      <c r="H712" s="14">
        <v>11</v>
      </c>
      <c r="I712" s="2">
        <v>460</v>
      </c>
      <c r="J712" s="3">
        <v>20</v>
      </c>
      <c r="K712" s="2">
        <v>4048</v>
      </c>
      <c r="L712" s="2">
        <v>2914</v>
      </c>
      <c r="M712" s="2">
        <v>1134</v>
      </c>
      <c r="N712" s="14" t="s">
        <v>38</v>
      </c>
      <c r="O712" s="14">
        <v>5</v>
      </c>
      <c r="V712" s="2"/>
    </row>
    <row r="713" spans="1:22">
      <c r="A713">
        <v>10752</v>
      </c>
      <c r="B713" s="7" t="s">
        <v>531</v>
      </c>
      <c r="C713" s="14" t="s">
        <v>125</v>
      </c>
      <c r="D713" s="14" t="s">
        <v>39</v>
      </c>
      <c r="E713" s="14" t="s">
        <v>61</v>
      </c>
      <c r="F713" s="14" t="s">
        <v>117</v>
      </c>
      <c r="G713" s="14" t="s">
        <v>70</v>
      </c>
      <c r="H713" s="14">
        <v>5</v>
      </c>
      <c r="I713" s="2">
        <v>1740</v>
      </c>
      <c r="J713" s="3">
        <v>20</v>
      </c>
      <c r="K713" s="2">
        <v>6960</v>
      </c>
      <c r="L713" s="2">
        <v>4524</v>
      </c>
      <c r="M713" s="2">
        <v>2436</v>
      </c>
      <c r="N713" s="14" t="s">
        <v>47</v>
      </c>
      <c r="O713" s="14">
        <v>1</v>
      </c>
      <c r="V713" s="2"/>
    </row>
    <row r="714" spans="1:22">
      <c r="A714">
        <v>10753</v>
      </c>
      <c r="B714" s="7" t="s">
        <v>319</v>
      </c>
      <c r="C714" s="14" t="s">
        <v>120</v>
      </c>
      <c r="D714" s="14" t="s">
        <v>45</v>
      </c>
      <c r="E714" s="14" t="s">
        <v>58</v>
      </c>
      <c r="F714" s="14" t="s">
        <v>40</v>
      </c>
      <c r="G714" s="14" t="s">
        <v>72</v>
      </c>
      <c r="H714" s="14">
        <v>5</v>
      </c>
      <c r="I714" s="2">
        <v>1130</v>
      </c>
      <c r="J714" s="3">
        <v>15</v>
      </c>
      <c r="K714" s="2">
        <v>4802.5</v>
      </c>
      <c r="L714" s="2">
        <v>3265</v>
      </c>
      <c r="M714" s="2">
        <v>1537.5</v>
      </c>
      <c r="N714" s="14" t="s">
        <v>44</v>
      </c>
      <c r="O714" s="14">
        <v>5</v>
      </c>
      <c r="V714" s="2"/>
    </row>
    <row r="715" spans="1:22">
      <c r="A715">
        <v>10754</v>
      </c>
      <c r="B715" s="7" t="s">
        <v>448</v>
      </c>
      <c r="C715" s="14" t="s">
        <v>135</v>
      </c>
      <c r="D715" s="14" t="s">
        <v>45</v>
      </c>
      <c r="E715" s="14" t="s">
        <v>56</v>
      </c>
      <c r="F715" s="14" t="s">
        <v>150</v>
      </c>
      <c r="G715" s="14" t="s">
        <v>63</v>
      </c>
      <c r="H715" s="14">
        <v>14</v>
      </c>
      <c r="I715" s="2">
        <v>740</v>
      </c>
      <c r="J715" s="3">
        <v>20</v>
      </c>
      <c r="K715" s="2">
        <v>8288</v>
      </c>
      <c r="L715" s="2">
        <v>5552</v>
      </c>
      <c r="M715" s="2">
        <v>2736</v>
      </c>
      <c r="N715" s="14" t="s">
        <v>44</v>
      </c>
      <c r="O715" s="14">
        <v>5</v>
      </c>
      <c r="V715" s="2"/>
    </row>
    <row r="716" spans="1:22">
      <c r="A716">
        <v>10755</v>
      </c>
      <c r="B716" s="7" t="s">
        <v>532</v>
      </c>
      <c r="C716" s="14" t="s">
        <v>116</v>
      </c>
      <c r="D716" s="14" t="s">
        <v>42</v>
      </c>
      <c r="E716" s="14" t="s">
        <v>56</v>
      </c>
      <c r="F716" s="14" t="s">
        <v>50</v>
      </c>
      <c r="G716" s="14" t="s">
        <v>68</v>
      </c>
      <c r="H716" s="14">
        <v>5</v>
      </c>
      <c r="I716" s="2">
        <v>1780</v>
      </c>
      <c r="J716" s="3">
        <v>15</v>
      </c>
      <c r="K716" s="2">
        <v>7565</v>
      </c>
      <c r="L716" s="2">
        <v>5598</v>
      </c>
      <c r="M716" s="2">
        <v>1967</v>
      </c>
      <c r="N716" s="14" t="s">
        <v>41</v>
      </c>
      <c r="O716" s="14">
        <v>4</v>
      </c>
      <c r="V716" s="2"/>
    </row>
    <row r="717" spans="1:22">
      <c r="A717">
        <v>10756</v>
      </c>
      <c r="B717" s="7" t="s">
        <v>276</v>
      </c>
      <c r="C717" s="14" t="s">
        <v>137</v>
      </c>
      <c r="D717" s="14" t="s">
        <v>36</v>
      </c>
      <c r="E717" s="14" t="s">
        <v>58</v>
      </c>
      <c r="F717" s="14" t="s">
        <v>43</v>
      </c>
      <c r="G717" s="14" t="s">
        <v>64</v>
      </c>
      <c r="H717" s="14">
        <v>9</v>
      </c>
      <c r="I717" s="2">
        <v>1920</v>
      </c>
      <c r="J717" s="3">
        <v>10</v>
      </c>
      <c r="K717" s="2">
        <v>15552</v>
      </c>
      <c r="L717" s="2">
        <v>9797</v>
      </c>
      <c r="M717" s="2">
        <v>5755</v>
      </c>
      <c r="N717" s="14" t="s">
        <v>38</v>
      </c>
      <c r="O717" s="14">
        <v>5</v>
      </c>
      <c r="V717" s="2"/>
    </row>
    <row r="718" spans="1:22">
      <c r="A718">
        <v>10757</v>
      </c>
      <c r="B718" s="7" t="s">
        <v>528</v>
      </c>
      <c r="C718" s="14" t="s">
        <v>125</v>
      </c>
      <c r="D718" s="14" t="s">
        <v>45</v>
      </c>
      <c r="E718" s="14" t="s">
        <v>56</v>
      </c>
      <c r="F718" s="14" t="s">
        <v>50</v>
      </c>
      <c r="G718" s="14" t="s">
        <v>66</v>
      </c>
      <c r="H718" s="14">
        <v>10</v>
      </c>
      <c r="I718" s="2">
        <v>1890</v>
      </c>
      <c r="J718" s="3">
        <v>20</v>
      </c>
      <c r="K718" s="2">
        <v>15120</v>
      </c>
      <c r="L718" s="2">
        <v>11793</v>
      </c>
      <c r="M718" s="2">
        <v>3327</v>
      </c>
      <c r="N718" s="14" t="s">
        <v>47</v>
      </c>
      <c r="O718" s="14">
        <v>2</v>
      </c>
      <c r="V718" s="2"/>
    </row>
    <row r="719" spans="1:22">
      <c r="A719">
        <v>10758</v>
      </c>
      <c r="B719" s="7" t="s">
        <v>501</v>
      </c>
      <c r="C719" s="14" t="s">
        <v>141</v>
      </c>
      <c r="D719" s="14" t="s">
        <v>39</v>
      </c>
      <c r="E719" s="14" t="s">
        <v>58</v>
      </c>
      <c r="F719" s="14" t="s">
        <v>37</v>
      </c>
      <c r="G719" s="14" t="s">
        <v>70</v>
      </c>
      <c r="H719" s="14">
        <v>3</v>
      </c>
      <c r="I719" s="2">
        <v>1500</v>
      </c>
      <c r="J719" s="3">
        <v>20</v>
      </c>
      <c r="K719" s="2">
        <v>3600</v>
      </c>
      <c r="L719" s="2">
        <v>2952</v>
      </c>
      <c r="M719" s="2">
        <v>648</v>
      </c>
      <c r="N719" s="14" t="s">
        <v>38</v>
      </c>
      <c r="O719" s="14">
        <v>5</v>
      </c>
      <c r="V719" s="2"/>
    </row>
    <row r="720" spans="1:22">
      <c r="A720">
        <v>10760</v>
      </c>
      <c r="B720" s="7" t="s">
        <v>332</v>
      </c>
      <c r="C720" s="14" t="s">
        <v>141</v>
      </c>
      <c r="D720" s="14" t="s">
        <v>39</v>
      </c>
      <c r="E720" s="14" t="s">
        <v>58</v>
      </c>
      <c r="F720" s="14" t="s">
        <v>43</v>
      </c>
      <c r="G720" s="14" t="s">
        <v>74</v>
      </c>
      <c r="H720" s="14">
        <v>1</v>
      </c>
      <c r="I720" s="2">
        <v>370</v>
      </c>
      <c r="J720" s="3">
        <v>5</v>
      </c>
      <c r="K720" s="2">
        <v>351.5</v>
      </c>
      <c r="L720" s="2">
        <v>239</v>
      </c>
      <c r="M720" s="2">
        <v>112.5</v>
      </c>
      <c r="N720" s="14" t="s">
        <v>44</v>
      </c>
      <c r="O720" s="14">
        <v>2</v>
      </c>
      <c r="V720" s="2"/>
    </row>
    <row r="721" spans="1:22">
      <c r="A721">
        <v>10761</v>
      </c>
      <c r="B721" s="7" t="s">
        <v>533</v>
      </c>
      <c r="C721" s="14" t="s">
        <v>120</v>
      </c>
      <c r="D721" s="14" t="s">
        <v>36</v>
      </c>
      <c r="E721" s="14" t="s">
        <v>58</v>
      </c>
      <c r="F721" s="14" t="s">
        <v>55</v>
      </c>
      <c r="G721" s="14" t="s">
        <v>68</v>
      </c>
      <c r="H721" s="14">
        <v>7</v>
      </c>
      <c r="I721" s="2">
        <v>750</v>
      </c>
      <c r="J721" s="3">
        <v>15</v>
      </c>
      <c r="K721" s="2">
        <v>4462.5</v>
      </c>
      <c r="L721" s="2">
        <v>2588</v>
      </c>
      <c r="M721" s="2">
        <v>1874.5</v>
      </c>
      <c r="N721" s="14" t="s">
        <v>47</v>
      </c>
      <c r="O721" s="14">
        <v>5</v>
      </c>
      <c r="V721" s="2"/>
    </row>
    <row r="722" spans="1:22">
      <c r="A722">
        <v>10762</v>
      </c>
      <c r="B722" s="7" t="s">
        <v>419</v>
      </c>
      <c r="C722" s="14" t="s">
        <v>111</v>
      </c>
      <c r="D722" s="14" t="s">
        <v>42</v>
      </c>
      <c r="E722" s="14" t="s">
        <v>58</v>
      </c>
      <c r="F722" s="14" t="s">
        <v>37</v>
      </c>
      <c r="G722" s="14" t="s">
        <v>66</v>
      </c>
      <c r="H722" s="14">
        <v>8</v>
      </c>
      <c r="I722" s="2">
        <v>1930</v>
      </c>
      <c r="J722" s="3">
        <v>10</v>
      </c>
      <c r="K722" s="2">
        <v>13896</v>
      </c>
      <c r="L722" s="2">
        <v>8893</v>
      </c>
      <c r="M722" s="2">
        <v>5003</v>
      </c>
      <c r="N722" s="14" t="s">
        <v>41</v>
      </c>
      <c r="O722" s="14">
        <v>5</v>
      </c>
      <c r="V722" s="2"/>
    </row>
    <row r="723" spans="1:22">
      <c r="A723">
        <v>10763</v>
      </c>
      <c r="B723" s="7" t="s">
        <v>139</v>
      </c>
      <c r="C723" s="14" t="s">
        <v>125</v>
      </c>
      <c r="D723" s="14" t="s">
        <v>39</v>
      </c>
      <c r="E723" s="14" t="s">
        <v>56</v>
      </c>
      <c r="F723" s="14" t="s">
        <v>150</v>
      </c>
      <c r="G723" s="14" t="s">
        <v>72</v>
      </c>
      <c r="H723" s="14">
        <v>11</v>
      </c>
      <c r="I723" s="2">
        <v>530</v>
      </c>
      <c r="J723" s="3">
        <v>20</v>
      </c>
      <c r="K723" s="2">
        <v>4664</v>
      </c>
      <c r="L723" s="2">
        <v>3358</v>
      </c>
      <c r="M723" s="2">
        <v>1306</v>
      </c>
      <c r="N723" s="14" t="s">
        <v>44</v>
      </c>
      <c r="O723" s="14">
        <v>5</v>
      </c>
      <c r="V723" s="2"/>
    </row>
    <row r="724" spans="1:22">
      <c r="A724">
        <v>10765</v>
      </c>
      <c r="B724" s="7" t="s">
        <v>533</v>
      </c>
      <c r="C724" s="14" t="s">
        <v>147</v>
      </c>
      <c r="D724" s="14" t="s">
        <v>42</v>
      </c>
      <c r="E724" s="14" t="s">
        <v>61</v>
      </c>
      <c r="F724" s="14" t="s">
        <v>52</v>
      </c>
      <c r="G724" s="14" t="s">
        <v>64</v>
      </c>
      <c r="H724" s="14">
        <v>7</v>
      </c>
      <c r="I724" s="2">
        <v>930</v>
      </c>
      <c r="J724" s="3">
        <v>15</v>
      </c>
      <c r="K724" s="2">
        <v>5533.5</v>
      </c>
      <c r="L724" s="2">
        <v>3818</v>
      </c>
      <c r="M724" s="2">
        <v>1715.5</v>
      </c>
      <c r="N724" s="14" t="s">
        <v>41</v>
      </c>
      <c r="O724" s="14">
        <v>4</v>
      </c>
      <c r="V724" s="2"/>
    </row>
    <row r="725" spans="1:22">
      <c r="A725">
        <v>10766</v>
      </c>
      <c r="B725" s="7" t="s">
        <v>71</v>
      </c>
      <c r="C725" s="14" t="s">
        <v>125</v>
      </c>
      <c r="D725" s="14" t="s">
        <v>45</v>
      </c>
      <c r="E725" s="14" t="s">
        <v>61</v>
      </c>
      <c r="F725" s="14" t="s">
        <v>117</v>
      </c>
      <c r="G725" s="14" t="s">
        <v>66</v>
      </c>
      <c r="H725" s="14">
        <v>13</v>
      </c>
      <c r="I725" s="2">
        <v>410</v>
      </c>
      <c r="J725" s="3">
        <v>20</v>
      </c>
      <c r="K725" s="2">
        <v>4264</v>
      </c>
      <c r="L725" s="2">
        <v>3198</v>
      </c>
      <c r="M725" s="2">
        <v>1066</v>
      </c>
      <c r="N725" s="14" t="s">
        <v>47</v>
      </c>
      <c r="O725" s="14">
        <v>3</v>
      </c>
      <c r="V725" s="2"/>
    </row>
    <row r="726" spans="1:22">
      <c r="A726">
        <v>10768</v>
      </c>
      <c r="B726" s="7" t="s">
        <v>405</v>
      </c>
      <c r="C726" s="14" t="s">
        <v>137</v>
      </c>
      <c r="D726" s="14" t="s">
        <v>39</v>
      </c>
      <c r="E726" s="14" t="s">
        <v>61</v>
      </c>
      <c r="F726" s="14" t="s">
        <v>52</v>
      </c>
      <c r="G726" s="14" t="s">
        <v>63</v>
      </c>
      <c r="H726" s="14">
        <v>7</v>
      </c>
      <c r="I726" s="2">
        <v>1880</v>
      </c>
      <c r="J726" s="3">
        <v>20</v>
      </c>
      <c r="K726" s="2">
        <v>10528</v>
      </c>
      <c r="L726" s="2">
        <v>8211</v>
      </c>
      <c r="M726" s="2">
        <v>2317</v>
      </c>
      <c r="N726" s="14" t="s">
        <v>41</v>
      </c>
      <c r="O726" s="14">
        <v>5</v>
      </c>
      <c r="V726" s="2"/>
    </row>
    <row r="727" spans="1:22">
      <c r="A727">
        <v>10769</v>
      </c>
      <c r="B727" s="7" t="s">
        <v>201</v>
      </c>
      <c r="C727" s="14" t="s">
        <v>125</v>
      </c>
      <c r="D727" s="14" t="s">
        <v>45</v>
      </c>
      <c r="E727" s="14" t="s">
        <v>56</v>
      </c>
      <c r="F727" s="14" t="s">
        <v>50</v>
      </c>
      <c r="G727" s="14" t="s">
        <v>66</v>
      </c>
      <c r="H727" s="14">
        <v>11</v>
      </c>
      <c r="I727" s="2">
        <v>460</v>
      </c>
      <c r="J727" s="3">
        <v>20</v>
      </c>
      <c r="K727" s="2">
        <v>4048</v>
      </c>
      <c r="L727" s="2">
        <v>3319</v>
      </c>
      <c r="M727" s="2">
        <v>729</v>
      </c>
      <c r="N727" s="14" t="s">
        <v>41</v>
      </c>
      <c r="O727" s="14">
        <v>4</v>
      </c>
      <c r="V727" s="2"/>
    </row>
    <row r="728" spans="1:22">
      <c r="A728">
        <v>10770</v>
      </c>
      <c r="B728" s="7" t="s">
        <v>67</v>
      </c>
      <c r="C728" s="14" t="s">
        <v>120</v>
      </c>
      <c r="D728" s="14" t="s">
        <v>42</v>
      </c>
      <c r="E728" s="14" t="s">
        <v>58</v>
      </c>
      <c r="F728" s="14" t="s">
        <v>43</v>
      </c>
      <c r="G728" s="14" t="s">
        <v>68</v>
      </c>
      <c r="H728" s="14">
        <v>4</v>
      </c>
      <c r="I728" s="2">
        <v>830</v>
      </c>
      <c r="J728" s="3">
        <v>0</v>
      </c>
      <c r="K728" s="2">
        <v>3320</v>
      </c>
      <c r="L728" s="2">
        <v>2290</v>
      </c>
      <c r="M728" s="2">
        <v>1030</v>
      </c>
      <c r="N728" s="14" t="s">
        <v>44</v>
      </c>
      <c r="O728" s="14">
        <v>3</v>
      </c>
      <c r="V728" s="2"/>
    </row>
    <row r="729" spans="1:22">
      <c r="A729">
        <v>10771</v>
      </c>
      <c r="B729" s="7" t="s">
        <v>443</v>
      </c>
      <c r="C729" s="14" t="s">
        <v>125</v>
      </c>
      <c r="D729" s="14" t="s">
        <v>36</v>
      </c>
      <c r="E729" s="14" t="s">
        <v>58</v>
      </c>
      <c r="F729" s="14" t="s">
        <v>40</v>
      </c>
      <c r="G729" s="14" t="s">
        <v>70</v>
      </c>
      <c r="H729" s="14">
        <v>14</v>
      </c>
      <c r="I729" s="2">
        <v>1860</v>
      </c>
      <c r="J729" s="3">
        <v>20</v>
      </c>
      <c r="K729" s="2">
        <v>20832</v>
      </c>
      <c r="L729" s="2">
        <v>14582</v>
      </c>
      <c r="M729" s="2">
        <v>6250</v>
      </c>
      <c r="N729" s="14" t="s">
        <v>44</v>
      </c>
      <c r="O729" s="14">
        <v>5</v>
      </c>
      <c r="V729" s="2"/>
    </row>
    <row r="730" spans="1:22">
      <c r="A730">
        <v>10772</v>
      </c>
      <c r="B730" s="7" t="s">
        <v>333</v>
      </c>
      <c r="C730" s="14" t="s">
        <v>128</v>
      </c>
      <c r="D730" s="14" t="s">
        <v>36</v>
      </c>
      <c r="E730" s="14" t="s">
        <v>61</v>
      </c>
      <c r="F730" s="14" t="s">
        <v>52</v>
      </c>
      <c r="G730" s="14" t="s">
        <v>66</v>
      </c>
      <c r="H730" s="14">
        <v>3</v>
      </c>
      <c r="I730" s="2">
        <v>1270</v>
      </c>
      <c r="J730" s="3">
        <v>5</v>
      </c>
      <c r="K730" s="2">
        <v>3619.5</v>
      </c>
      <c r="L730" s="2">
        <v>2171</v>
      </c>
      <c r="M730" s="2">
        <v>1448.5</v>
      </c>
      <c r="N730" s="14" t="s">
        <v>38</v>
      </c>
      <c r="O730" s="14">
        <v>1</v>
      </c>
      <c r="V730" s="2"/>
    </row>
    <row r="731" spans="1:22">
      <c r="A731">
        <v>10773</v>
      </c>
      <c r="B731" s="7" t="s">
        <v>191</v>
      </c>
      <c r="C731" s="14" t="s">
        <v>128</v>
      </c>
      <c r="D731" s="14" t="s">
        <v>39</v>
      </c>
      <c r="E731" s="14" t="s">
        <v>58</v>
      </c>
      <c r="F731" s="14" t="s">
        <v>40</v>
      </c>
      <c r="G731" s="14" t="s">
        <v>63</v>
      </c>
      <c r="H731" s="14">
        <v>10</v>
      </c>
      <c r="I731" s="2">
        <v>1500</v>
      </c>
      <c r="J731" s="3">
        <v>20</v>
      </c>
      <c r="K731" s="2">
        <v>12000</v>
      </c>
      <c r="L731" s="2">
        <v>8040</v>
      </c>
      <c r="M731" s="2">
        <v>3960</v>
      </c>
      <c r="N731" s="14" t="s">
        <v>38</v>
      </c>
      <c r="O731" s="14">
        <v>2</v>
      </c>
      <c r="V731" s="2"/>
    </row>
    <row r="732" spans="1:22">
      <c r="A732">
        <v>10774</v>
      </c>
      <c r="B732" s="7" t="s">
        <v>272</v>
      </c>
      <c r="C732" s="14" t="s">
        <v>128</v>
      </c>
      <c r="D732" s="14" t="s">
        <v>45</v>
      </c>
      <c r="E732" s="14" t="s">
        <v>56</v>
      </c>
      <c r="F732" s="14" t="s">
        <v>49</v>
      </c>
      <c r="G732" s="14" t="s">
        <v>70</v>
      </c>
      <c r="H732" s="14">
        <v>1</v>
      </c>
      <c r="I732" s="2">
        <v>1810</v>
      </c>
      <c r="J732" s="3">
        <v>15</v>
      </c>
      <c r="K732" s="2">
        <v>1538.5</v>
      </c>
      <c r="L732" s="2">
        <v>1000</v>
      </c>
      <c r="M732" s="2">
        <v>538.5</v>
      </c>
      <c r="N732" s="14" t="s">
        <v>38</v>
      </c>
      <c r="O732" s="14">
        <v>5</v>
      </c>
      <c r="V732" s="2"/>
    </row>
    <row r="733" spans="1:22">
      <c r="A733">
        <v>10775</v>
      </c>
      <c r="B733" s="7" t="s">
        <v>262</v>
      </c>
      <c r="C733" s="14" t="s">
        <v>141</v>
      </c>
      <c r="D733" s="14" t="s">
        <v>39</v>
      </c>
      <c r="E733" s="14" t="s">
        <v>61</v>
      </c>
      <c r="F733" s="14" t="s">
        <v>52</v>
      </c>
      <c r="G733" s="14" t="s">
        <v>74</v>
      </c>
      <c r="H733" s="14">
        <v>4</v>
      </c>
      <c r="I733" s="2">
        <v>1480</v>
      </c>
      <c r="J733" s="3">
        <v>15</v>
      </c>
      <c r="K733" s="2">
        <v>5032</v>
      </c>
      <c r="L733" s="2">
        <v>3069</v>
      </c>
      <c r="M733" s="2">
        <v>1963</v>
      </c>
      <c r="N733" s="14" t="s">
        <v>44</v>
      </c>
      <c r="O733" s="14">
        <v>4</v>
      </c>
      <c r="V733" s="2"/>
    </row>
    <row r="734" spans="1:22">
      <c r="A734">
        <v>10777</v>
      </c>
      <c r="B734" s="7" t="s">
        <v>293</v>
      </c>
      <c r="C734" s="14" t="s">
        <v>135</v>
      </c>
      <c r="D734" s="14" t="s">
        <v>42</v>
      </c>
      <c r="E734" s="14" t="s">
        <v>56</v>
      </c>
      <c r="F734" s="14" t="s">
        <v>49</v>
      </c>
      <c r="G734" s="14" t="s">
        <v>68</v>
      </c>
      <c r="H734" s="14">
        <v>9</v>
      </c>
      <c r="I734" s="2">
        <v>390</v>
      </c>
      <c r="J734" s="3">
        <v>5</v>
      </c>
      <c r="K734" s="2">
        <v>3334.5</v>
      </c>
      <c r="L734" s="2">
        <v>2067</v>
      </c>
      <c r="M734" s="2">
        <v>1267.5</v>
      </c>
      <c r="N734" s="14" t="s">
        <v>41</v>
      </c>
      <c r="O734" s="14">
        <v>4</v>
      </c>
      <c r="V734" s="2"/>
    </row>
    <row r="735" spans="1:22">
      <c r="A735">
        <v>10778</v>
      </c>
      <c r="B735" s="7" t="s">
        <v>174</v>
      </c>
      <c r="C735" s="14" t="s">
        <v>128</v>
      </c>
      <c r="D735" s="14" t="s">
        <v>45</v>
      </c>
      <c r="E735" s="14" t="s">
        <v>61</v>
      </c>
      <c r="F735" s="14" t="s">
        <v>51</v>
      </c>
      <c r="G735" s="14" t="s">
        <v>74</v>
      </c>
      <c r="H735" s="14">
        <v>4</v>
      </c>
      <c r="I735" s="2">
        <v>580</v>
      </c>
      <c r="J735" s="3">
        <v>10</v>
      </c>
      <c r="K735" s="2">
        <v>2088</v>
      </c>
      <c r="L735" s="2">
        <v>1169</v>
      </c>
      <c r="M735" s="2">
        <v>919</v>
      </c>
      <c r="N735" s="14" t="s">
        <v>47</v>
      </c>
      <c r="O735" s="14">
        <v>1</v>
      </c>
      <c r="V735" s="2"/>
    </row>
    <row r="736" spans="1:22">
      <c r="A736">
        <v>10779</v>
      </c>
      <c r="B736" s="7" t="s">
        <v>534</v>
      </c>
      <c r="C736" s="14" t="s">
        <v>111</v>
      </c>
      <c r="D736" s="14" t="s">
        <v>42</v>
      </c>
      <c r="E736" s="14" t="s">
        <v>56</v>
      </c>
      <c r="F736" s="14" t="s">
        <v>131</v>
      </c>
      <c r="G736" s="14" t="s">
        <v>64</v>
      </c>
      <c r="H736" s="14">
        <v>12</v>
      </c>
      <c r="I736" s="2">
        <v>1820</v>
      </c>
      <c r="J736" s="3">
        <v>5</v>
      </c>
      <c r="K736" s="2">
        <v>20748</v>
      </c>
      <c r="L736" s="2">
        <v>13486</v>
      </c>
      <c r="M736" s="2">
        <v>7262</v>
      </c>
      <c r="N736" s="14" t="s">
        <v>38</v>
      </c>
      <c r="O736" s="14">
        <v>2</v>
      </c>
      <c r="V736" s="2"/>
    </row>
    <row r="737" spans="1:22">
      <c r="A737">
        <v>10780</v>
      </c>
      <c r="B737" s="7" t="s">
        <v>383</v>
      </c>
      <c r="C737" s="14" t="s">
        <v>116</v>
      </c>
      <c r="D737" s="14" t="s">
        <v>45</v>
      </c>
      <c r="E737" s="14" t="s">
        <v>61</v>
      </c>
      <c r="F737" s="14" t="s">
        <v>117</v>
      </c>
      <c r="G737" s="14" t="s">
        <v>64</v>
      </c>
      <c r="H737" s="14">
        <v>1</v>
      </c>
      <c r="I737" s="2">
        <v>790</v>
      </c>
      <c r="J737" s="3">
        <v>20</v>
      </c>
      <c r="K737" s="2">
        <v>632</v>
      </c>
      <c r="L737" s="2">
        <v>499</v>
      </c>
      <c r="M737" s="2">
        <v>133</v>
      </c>
      <c r="N737" s="14" t="s">
        <v>47</v>
      </c>
      <c r="O737" s="14">
        <v>4</v>
      </c>
      <c r="V737" s="2"/>
    </row>
    <row r="738" spans="1:22">
      <c r="A738">
        <v>10781</v>
      </c>
      <c r="B738" s="7" t="s">
        <v>378</v>
      </c>
      <c r="C738" s="14" t="s">
        <v>120</v>
      </c>
      <c r="D738" s="14" t="s">
        <v>36</v>
      </c>
      <c r="E738" s="14" t="s">
        <v>58</v>
      </c>
      <c r="F738" s="14" t="s">
        <v>40</v>
      </c>
      <c r="G738" s="14" t="s">
        <v>66</v>
      </c>
      <c r="H738" s="14">
        <v>9</v>
      </c>
      <c r="I738" s="2">
        <v>1080</v>
      </c>
      <c r="J738" s="3">
        <v>5</v>
      </c>
      <c r="K738" s="2">
        <v>9234</v>
      </c>
      <c r="L738" s="2">
        <v>5909</v>
      </c>
      <c r="M738" s="2">
        <v>3325</v>
      </c>
      <c r="N738" s="14" t="s">
        <v>41</v>
      </c>
      <c r="O738" s="14">
        <v>3</v>
      </c>
      <c r="V738" s="2"/>
    </row>
    <row r="739" spans="1:22">
      <c r="A739">
        <v>10782</v>
      </c>
      <c r="B739" s="7" t="s">
        <v>480</v>
      </c>
      <c r="C739" s="14" t="s">
        <v>135</v>
      </c>
      <c r="D739" s="14" t="s">
        <v>39</v>
      </c>
      <c r="E739" s="14" t="s">
        <v>58</v>
      </c>
      <c r="F739" s="14" t="s">
        <v>55</v>
      </c>
      <c r="G739" s="14" t="s">
        <v>64</v>
      </c>
      <c r="H739" s="14">
        <v>9</v>
      </c>
      <c r="I739" s="2">
        <v>1340</v>
      </c>
      <c r="J739" s="3">
        <v>10</v>
      </c>
      <c r="K739" s="2">
        <v>10854</v>
      </c>
      <c r="L739" s="2">
        <v>7380</v>
      </c>
      <c r="M739" s="2">
        <v>3474</v>
      </c>
      <c r="N739" s="14" t="s">
        <v>41</v>
      </c>
      <c r="O739" s="14">
        <v>4</v>
      </c>
      <c r="V739" s="2"/>
    </row>
    <row r="740" spans="1:22">
      <c r="A740">
        <v>10783</v>
      </c>
      <c r="B740" s="7" t="s">
        <v>535</v>
      </c>
      <c r="C740" s="14" t="s">
        <v>130</v>
      </c>
      <c r="D740" s="14" t="s">
        <v>45</v>
      </c>
      <c r="E740" s="14" t="s">
        <v>58</v>
      </c>
      <c r="F740" s="14" t="s">
        <v>43</v>
      </c>
      <c r="G740" s="14" t="s">
        <v>64</v>
      </c>
      <c r="H740" s="14">
        <v>10</v>
      </c>
      <c r="I740" s="2">
        <v>1010</v>
      </c>
      <c r="J740" s="3">
        <v>15</v>
      </c>
      <c r="K740" s="2">
        <v>8585</v>
      </c>
      <c r="L740" s="2">
        <v>6267</v>
      </c>
      <c r="M740" s="2">
        <v>2318</v>
      </c>
      <c r="N740" s="14" t="s">
        <v>47</v>
      </c>
      <c r="O740" s="14">
        <v>5</v>
      </c>
      <c r="V740" s="2"/>
    </row>
    <row r="741" spans="1:22">
      <c r="A741">
        <v>10784</v>
      </c>
      <c r="B741" s="7" t="s">
        <v>262</v>
      </c>
      <c r="C741" s="14" t="s">
        <v>135</v>
      </c>
      <c r="D741" s="14" t="s">
        <v>45</v>
      </c>
      <c r="E741" s="14" t="s">
        <v>61</v>
      </c>
      <c r="F741" s="14" t="s">
        <v>51</v>
      </c>
      <c r="G741" s="14" t="s">
        <v>66</v>
      </c>
      <c r="H741" s="14">
        <v>5</v>
      </c>
      <c r="I741" s="2">
        <v>510</v>
      </c>
      <c r="J741" s="3">
        <v>15</v>
      </c>
      <c r="K741" s="2">
        <v>2167.5</v>
      </c>
      <c r="L741" s="2">
        <v>1343</v>
      </c>
      <c r="M741" s="2">
        <v>824.5</v>
      </c>
      <c r="N741" s="14" t="s">
        <v>38</v>
      </c>
      <c r="O741" s="14">
        <v>4</v>
      </c>
      <c r="V741" s="2"/>
    </row>
    <row r="742" spans="1:22">
      <c r="A742">
        <v>10785</v>
      </c>
      <c r="B742" s="7" t="s">
        <v>536</v>
      </c>
      <c r="C742" s="14" t="s">
        <v>125</v>
      </c>
      <c r="D742" s="14" t="s">
        <v>39</v>
      </c>
      <c r="E742" s="14" t="s">
        <v>58</v>
      </c>
      <c r="F742" s="14" t="s">
        <v>43</v>
      </c>
      <c r="G742" s="14" t="s">
        <v>70</v>
      </c>
      <c r="H742" s="14">
        <v>15</v>
      </c>
      <c r="I742" s="2">
        <v>260</v>
      </c>
      <c r="J742" s="3">
        <v>15</v>
      </c>
      <c r="K742" s="2">
        <v>3315</v>
      </c>
      <c r="L742" s="2">
        <v>2121</v>
      </c>
      <c r="M742" s="2">
        <v>1194</v>
      </c>
      <c r="N742" s="14" t="s">
        <v>44</v>
      </c>
      <c r="O742" s="14">
        <v>3</v>
      </c>
      <c r="V742" s="2"/>
    </row>
    <row r="743" spans="1:22">
      <c r="A743">
        <v>10786</v>
      </c>
      <c r="B743" s="7" t="s">
        <v>304</v>
      </c>
      <c r="C743" s="14" t="s">
        <v>125</v>
      </c>
      <c r="D743" s="14" t="s">
        <v>36</v>
      </c>
      <c r="E743" s="14" t="s">
        <v>61</v>
      </c>
      <c r="F743" s="14" t="s">
        <v>46</v>
      </c>
      <c r="G743" s="14" t="s">
        <v>64</v>
      </c>
      <c r="H743" s="14">
        <v>12</v>
      </c>
      <c r="I743" s="2">
        <v>640</v>
      </c>
      <c r="J743" s="3">
        <v>15</v>
      </c>
      <c r="K743" s="2">
        <v>6528</v>
      </c>
      <c r="L743" s="2">
        <v>4308</v>
      </c>
      <c r="M743" s="2">
        <v>2220</v>
      </c>
      <c r="N743" s="14" t="s">
        <v>47</v>
      </c>
      <c r="O743" s="14">
        <v>1</v>
      </c>
      <c r="V743" s="2"/>
    </row>
    <row r="744" spans="1:22">
      <c r="A744">
        <v>10787</v>
      </c>
      <c r="B744" s="7" t="s">
        <v>339</v>
      </c>
      <c r="C744" s="14" t="s">
        <v>116</v>
      </c>
      <c r="D744" s="14" t="s">
        <v>42</v>
      </c>
      <c r="E744" s="14" t="s">
        <v>61</v>
      </c>
      <c r="F744" s="14" t="s">
        <v>143</v>
      </c>
      <c r="G744" s="14" t="s">
        <v>66</v>
      </c>
      <c r="H744" s="14">
        <v>4</v>
      </c>
      <c r="I744" s="2">
        <v>590</v>
      </c>
      <c r="J744" s="3">
        <v>5</v>
      </c>
      <c r="K744" s="2">
        <v>2242</v>
      </c>
      <c r="L744" s="2">
        <v>1726</v>
      </c>
      <c r="M744" s="2">
        <v>516</v>
      </c>
      <c r="N744" s="14" t="s">
        <v>38</v>
      </c>
      <c r="O744" s="14">
        <v>3</v>
      </c>
      <c r="V744" s="2"/>
    </row>
    <row r="745" spans="1:22">
      <c r="A745">
        <v>10788</v>
      </c>
      <c r="B745" s="7" t="s">
        <v>506</v>
      </c>
      <c r="C745" s="14" t="s">
        <v>111</v>
      </c>
      <c r="D745" s="14" t="s">
        <v>45</v>
      </c>
      <c r="E745" s="14" t="s">
        <v>58</v>
      </c>
      <c r="F745" s="14" t="s">
        <v>37</v>
      </c>
      <c r="G745" s="14" t="s">
        <v>72</v>
      </c>
      <c r="H745" s="14">
        <v>3</v>
      </c>
      <c r="I745" s="2">
        <v>560</v>
      </c>
      <c r="J745" s="3">
        <v>15</v>
      </c>
      <c r="K745" s="2">
        <v>1428</v>
      </c>
      <c r="L745" s="2">
        <v>813</v>
      </c>
      <c r="M745" s="2">
        <v>615</v>
      </c>
      <c r="N745" s="14" t="s">
        <v>44</v>
      </c>
      <c r="O745" s="14">
        <v>1</v>
      </c>
      <c r="V745" s="2"/>
    </row>
    <row r="746" spans="1:22">
      <c r="A746">
        <v>10789</v>
      </c>
      <c r="B746" s="7" t="s">
        <v>401</v>
      </c>
      <c r="C746" s="14" t="s">
        <v>128</v>
      </c>
      <c r="D746" s="14" t="s">
        <v>36</v>
      </c>
      <c r="E746" s="14" t="s">
        <v>56</v>
      </c>
      <c r="F746" s="14" t="s">
        <v>150</v>
      </c>
      <c r="G746" s="14" t="s">
        <v>68</v>
      </c>
      <c r="H746" s="14">
        <v>1</v>
      </c>
      <c r="I746" s="2">
        <v>860</v>
      </c>
      <c r="J746" s="3">
        <v>5</v>
      </c>
      <c r="K746" s="2">
        <v>817</v>
      </c>
      <c r="L746" s="2">
        <v>669</v>
      </c>
      <c r="M746" s="2">
        <v>148</v>
      </c>
      <c r="N746" s="14" t="s">
        <v>38</v>
      </c>
      <c r="O746" s="14">
        <v>2</v>
      </c>
      <c r="V746" s="2"/>
    </row>
    <row r="747" spans="1:22">
      <c r="A747">
        <v>10790</v>
      </c>
      <c r="B747" s="7" t="s">
        <v>537</v>
      </c>
      <c r="C747" s="14" t="s">
        <v>135</v>
      </c>
      <c r="D747" s="14" t="s">
        <v>42</v>
      </c>
      <c r="E747" s="14" t="s">
        <v>56</v>
      </c>
      <c r="F747" s="14" t="s">
        <v>57</v>
      </c>
      <c r="G747" s="14" t="s">
        <v>70</v>
      </c>
      <c r="H747" s="14">
        <v>7</v>
      </c>
      <c r="I747" s="2">
        <v>380</v>
      </c>
      <c r="J747" s="3">
        <v>20</v>
      </c>
      <c r="K747" s="2">
        <v>2128</v>
      </c>
      <c r="L747" s="2">
        <v>1340</v>
      </c>
      <c r="M747" s="2">
        <v>788</v>
      </c>
      <c r="N747" s="14" t="s">
        <v>47</v>
      </c>
      <c r="O747" s="14">
        <v>4</v>
      </c>
      <c r="V747" s="2"/>
    </row>
    <row r="748" spans="1:22">
      <c r="A748">
        <v>10791</v>
      </c>
      <c r="B748" s="7" t="s">
        <v>285</v>
      </c>
      <c r="C748" s="14" t="s">
        <v>125</v>
      </c>
      <c r="D748" s="14" t="s">
        <v>36</v>
      </c>
      <c r="E748" s="14" t="s">
        <v>56</v>
      </c>
      <c r="F748" s="14" t="s">
        <v>150</v>
      </c>
      <c r="G748" s="14" t="s">
        <v>68</v>
      </c>
      <c r="H748" s="14">
        <v>2</v>
      </c>
      <c r="I748" s="2">
        <v>1480</v>
      </c>
      <c r="J748" s="3">
        <v>15</v>
      </c>
      <c r="K748" s="2">
        <v>2516</v>
      </c>
      <c r="L748" s="2">
        <v>1786</v>
      </c>
      <c r="M748" s="2">
        <v>730</v>
      </c>
      <c r="N748" s="14" t="s">
        <v>47</v>
      </c>
      <c r="O748" s="14">
        <v>3</v>
      </c>
      <c r="V748" s="2"/>
    </row>
    <row r="749" spans="1:22">
      <c r="A749">
        <v>10793</v>
      </c>
      <c r="B749" s="7" t="s">
        <v>332</v>
      </c>
      <c r="C749" s="14" t="s">
        <v>130</v>
      </c>
      <c r="D749" s="14" t="s">
        <v>39</v>
      </c>
      <c r="E749" s="14" t="s">
        <v>61</v>
      </c>
      <c r="F749" s="14" t="s">
        <v>52</v>
      </c>
      <c r="G749" s="14" t="s">
        <v>64</v>
      </c>
      <c r="H749" s="14">
        <v>1</v>
      </c>
      <c r="I749" s="2">
        <v>1050</v>
      </c>
      <c r="J749" s="3">
        <v>10</v>
      </c>
      <c r="K749" s="2">
        <v>945</v>
      </c>
      <c r="L749" s="2">
        <v>595</v>
      </c>
      <c r="M749" s="2">
        <v>350</v>
      </c>
      <c r="N749" s="14" t="s">
        <v>41</v>
      </c>
      <c r="O749" s="14">
        <v>3</v>
      </c>
      <c r="V749" s="2"/>
    </row>
    <row r="750" spans="1:22">
      <c r="A750">
        <v>10795</v>
      </c>
      <c r="B750" s="7" t="s">
        <v>304</v>
      </c>
      <c r="C750" s="14" t="s">
        <v>135</v>
      </c>
      <c r="D750" s="14" t="s">
        <v>36</v>
      </c>
      <c r="E750" s="14" t="s">
        <v>56</v>
      </c>
      <c r="F750" s="14" t="s">
        <v>49</v>
      </c>
      <c r="G750" s="14" t="s">
        <v>63</v>
      </c>
      <c r="H750" s="14">
        <v>5</v>
      </c>
      <c r="I750" s="2">
        <v>530</v>
      </c>
      <c r="J750" s="3">
        <v>15</v>
      </c>
      <c r="K750" s="2">
        <v>2252.5</v>
      </c>
      <c r="L750" s="2">
        <v>1419</v>
      </c>
      <c r="M750" s="2">
        <v>833.5</v>
      </c>
      <c r="N750" s="14" t="s">
        <v>44</v>
      </c>
      <c r="O750" s="14">
        <v>1</v>
      </c>
      <c r="V750" s="2"/>
    </row>
    <row r="751" spans="1:22">
      <c r="A751">
        <v>10796</v>
      </c>
      <c r="B751" s="7" t="s">
        <v>195</v>
      </c>
      <c r="C751" s="14" t="s">
        <v>135</v>
      </c>
      <c r="D751" s="14" t="s">
        <v>39</v>
      </c>
      <c r="E751" s="14" t="s">
        <v>58</v>
      </c>
      <c r="F751" s="14" t="s">
        <v>37</v>
      </c>
      <c r="G751" s="14" t="s">
        <v>68</v>
      </c>
      <c r="H751" s="14">
        <v>9</v>
      </c>
      <c r="I751" s="2">
        <v>1860</v>
      </c>
      <c r="J751" s="3">
        <v>0</v>
      </c>
      <c r="K751" s="2">
        <v>16740</v>
      </c>
      <c r="L751" s="2">
        <v>12052</v>
      </c>
      <c r="M751" s="2">
        <v>4688</v>
      </c>
      <c r="N751" s="14" t="s">
        <v>41</v>
      </c>
      <c r="O751" s="14">
        <v>1</v>
      </c>
      <c r="V751" s="2"/>
    </row>
    <row r="752" spans="1:22">
      <c r="A752">
        <v>10797</v>
      </c>
      <c r="B752" s="7" t="s">
        <v>228</v>
      </c>
      <c r="C752" s="14" t="s">
        <v>125</v>
      </c>
      <c r="D752" s="14" t="s">
        <v>36</v>
      </c>
      <c r="E752" s="14" t="s">
        <v>61</v>
      </c>
      <c r="F752" s="14" t="s">
        <v>51</v>
      </c>
      <c r="G752" s="14" t="s">
        <v>64</v>
      </c>
      <c r="H752" s="14">
        <v>3</v>
      </c>
      <c r="I752" s="2">
        <v>550</v>
      </c>
      <c r="J752" s="3">
        <v>10</v>
      </c>
      <c r="K752" s="2">
        <v>1485</v>
      </c>
      <c r="L752" s="2">
        <v>994</v>
      </c>
      <c r="M752" s="2">
        <v>491</v>
      </c>
      <c r="N752" s="14" t="s">
        <v>47</v>
      </c>
      <c r="O752" s="14">
        <v>4</v>
      </c>
      <c r="V752" s="2"/>
    </row>
    <row r="753" spans="1:22">
      <c r="A753">
        <v>10798</v>
      </c>
      <c r="B753" s="7" t="s">
        <v>538</v>
      </c>
      <c r="C753" s="14" t="s">
        <v>120</v>
      </c>
      <c r="D753" s="14" t="s">
        <v>36</v>
      </c>
      <c r="E753" s="14" t="s">
        <v>56</v>
      </c>
      <c r="F753" s="14" t="s">
        <v>57</v>
      </c>
      <c r="G753" s="14" t="s">
        <v>74</v>
      </c>
      <c r="H753" s="14">
        <v>6</v>
      </c>
      <c r="I753" s="2">
        <v>1420</v>
      </c>
      <c r="J753" s="3">
        <v>15</v>
      </c>
      <c r="K753" s="2">
        <v>7242</v>
      </c>
      <c r="L753" s="2">
        <v>5431</v>
      </c>
      <c r="M753" s="2">
        <v>1811</v>
      </c>
      <c r="N753" s="14" t="s">
        <v>47</v>
      </c>
      <c r="O753" s="14">
        <v>4</v>
      </c>
      <c r="V753" s="2"/>
    </row>
    <row r="754" spans="1:22">
      <c r="A754">
        <v>10799</v>
      </c>
      <c r="B754" s="7" t="s">
        <v>539</v>
      </c>
      <c r="C754" s="14" t="s">
        <v>128</v>
      </c>
      <c r="D754" s="14" t="s">
        <v>42</v>
      </c>
      <c r="E754" s="14" t="s">
        <v>61</v>
      </c>
      <c r="F754" s="14" t="s">
        <v>117</v>
      </c>
      <c r="G754" s="14" t="s">
        <v>66</v>
      </c>
      <c r="H754" s="14">
        <v>15</v>
      </c>
      <c r="I754" s="2">
        <v>620</v>
      </c>
      <c r="J754" s="3">
        <v>0</v>
      </c>
      <c r="K754" s="2">
        <v>9300</v>
      </c>
      <c r="L754" s="2">
        <v>7533</v>
      </c>
      <c r="M754" s="2">
        <v>1767</v>
      </c>
      <c r="N754" s="14" t="s">
        <v>38</v>
      </c>
      <c r="O754" s="14">
        <v>5</v>
      </c>
      <c r="V754" s="2"/>
    </row>
    <row r="755" spans="1:22">
      <c r="A755">
        <v>10800</v>
      </c>
      <c r="B755" s="7" t="s">
        <v>216</v>
      </c>
      <c r="C755" s="14" t="s">
        <v>141</v>
      </c>
      <c r="D755" s="14" t="s">
        <v>45</v>
      </c>
      <c r="E755" s="14" t="s">
        <v>61</v>
      </c>
      <c r="F755" s="14" t="s">
        <v>143</v>
      </c>
      <c r="G755" s="14" t="s">
        <v>66</v>
      </c>
      <c r="H755" s="14">
        <v>9</v>
      </c>
      <c r="I755" s="2">
        <v>350</v>
      </c>
      <c r="J755" s="3">
        <v>10</v>
      </c>
      <c r="K755" s="2">
        <v>2835</v>
      </c>
      <c r="L755" s="2">
        <v>1672</v>
      </c>
      <c r="M755" s="2">
        <v>1163</v>
      </c>
      <c r="N755" s="14" t="s">
        <v>41</v>
      </c>
      <c r="O755" s="14">
        <v>4</v>
      </c>
      <c r="V755" s="2"/>
    </row>
    <row r="756" spans="1:22">
      <c r="A756">
        <v>10801</v>
      </c>
      <c r="B756" s="7" t="s">
        <v>540</v>
      </c>
      <c r="C756" s="14" t="s">
        <v>120</v>
      </c>
      <c r="D756" s="14" t="s">
        <v>36</v>
      </c>
      <c r="E756" s="14" t="s">
        <v>61</v>
      </c>
      <c r="F756" s="14" t="s">
        <v>52</v>
      </c>
      <c r="G756" s="14" t="s">
        <v>66</v>
      </c>
      <c r="H756" s="14">
        <v>5</v>
      </c>
      <c r="I756" s="2">
        <v>1890</v>
      </c>
      <c r="J756" s="3">
        <v>10</v>
      </c>
      <c r="K756" s="2">
        <v>8505</v>
      </c>
      <c r="L756" s="2">
        <v>7059</v>
      </c>
      <c r="M756" s="2">
        <v>1446</v>
      </c>
      <c r="N756" s="14" t="s">
        <v>44</v>
      </c>
      <c r="O756" s="14">
        <v>3</v>
      </c>
      <c r="V756" s="2"/>
    </row>
    <row r="757" spans="1:22">
      <c r="A757">
        <v>10802</v>
      </c>
      <c r="B757" s="7" t="s">
        <v>523</v>
      </c>
      <c r="C757" s="14" t="s">
        <v>135</v>
      </c>
      <c r="D757" s="14" t="s">
        <v>45</v>
      </c>
      <c r="E757" s="14" t="s">
        <v>58</v>
      </c>
      <c r="F757" s="14" t="s">
        <v>40</v>
      </c>
      <c r="G757" s="14" t="s">
        <v>74</v>
      </c>
      <c r="H757" s="14">
        <v>11</v>
      </c>
      <c r="I757" s="2">
        <v>430</v>
      </c>
      <c r="J757" s="3">
        <v>10</v>
      </c>
      <c r="K757" s="2">
        <v>4257</v>
      </c>
      <c r="L757" s="2">
        <v>2724</v>
      </c>
      <c r="M757" s="2">
        <v>1533</v>
      </c>
      <c r="N757" s="14" t="s">
        <v>47</v>
      </c>
      <c r="O757" s="14">
        <v>5</v>
      </c>
      <c r="V757" s="2"/>
    </row>
    <row r="758" spans="1:22">
      <c r="A758">
        <v>10803</v>
      </c>
      <c r="B758" s="7" t="s">
        <v>535</v>
      </c>
      <c r="C758" s="14" t="s">
        <v>128</v>
      </c>
      <c r="D758" s="14" t="s">
        <v>45</v>
      </c>
      <c r="E758" s="14" t="s">
        <v>56</v>
      </c>
      <c r="F758" s="14" t="s">
        <v>49</v>
      </c>
      <c r="G758" s="14" t="s">
        <v>63</v>
      </c>
      <c r="H758" s="14">
        <v>1</v>
      </c>
      <c r="I758" s="2">
        <v>470</v>
      </c>
      <c r="J758" s="3">
        <v>0</v>
      </c>
      <c r="K758" s="2">
        <v>470</v>
      </c>
      <c r="L758" s="2">
        <v>329</v>
      </c>
      <c r="M758" s="2">
        <v>141</v>
      </c>
      <c r="N758" s="14" t="s">
        <v>41</v>
      </c>
      <c r="O758" s="14">
        <v>3</v>
      </c>
      <c r="V758" s="2"/>
    </row>
    <row r="759" spans="1:22">
      <c r="A759">
        <v>10804</v>
      </c>
      <c r="B759" s="7" t="s">
        <v>222</v>
      </c>
      <c r="C759" s="14" t="s">
        <v>125</v>
      </c>
      <c r="D759" s="14" t="s">
        <v>42</v>
      </c>
      <c r="E759" s="14" t="s">
        <v>56</v>
      </c>
      <c r="F759" s="14" t="s">
        <v>131</v>
      </c>
      <c r="G759" s="14" t="s">
        <v>74</v>
      </c>
      <c r="H759" s="14">
        <v>13</v>
      </c>
      <c r="I759" s="2">
        <v>490</v>
      </c>
      <c r="J759" s="3">
        <v>15</v>
      </c>
      <c r="K759" s="2">
        <v>5414.5</v>
      </c>
      <c r="L759" s="2">
        <v>3032</v>
      </c>
      <c r="M759" s="2">
        <v>2382.5</v>
      </c>
      <c r="N759" s="14" t="s">
        <v>47</v>
      </c>
      <c r="O759" s="14">
        <v>2</v>
      </c>
      <c r="V759" s="2"/>
    </row>
    <row r="760" spans="1:22">
      <c r="A760">
        <v>10805</v>
      </c>
      <c r="B760" s="7" t="s">
        <v>541</v>
      </c>
      <c r="C760" s="14" t="s">
        <v>125</v>
      </c>
      <c r="D760" s="14" t="s">
        <v>39</v>
      </c>
      <c r="E760" s="14" t="s">
        <v>56</v>
      </c>
      <c r="F760" s="14" t="s">
        <v>57</v>
      </c>
      <c r="G760" s="14" t="s">
        <v>66</v>
      </c>
      <c r="H760" s="14">
        <v>9</v>
      </c>
      <c r="I760" s="2">
        <v>1870</v>
      </c>
      <c r="J760" s="3">
        <v>0</v>
      </c>
      <c r="K760" s="2">
        <v>16830</v>
      </c>
      <c r="L760" s="2">
        <v>9256</v>
      </c>
      <c r="M760" s="2">
        <v>7574</v>
      </c>
      <c r="N760" s="14" t="s">
        <v>47</v>
      </c>
      <c r="O760" s="14">
        <v>3</v>
      </c>
      <c r="V760" s="2"/>
    </row>
    <row r="761" spans="1:22">
      <c r="A761">
        <v>10806</v>
      </c>
      <c r="B761" s="7" t="s">
        <v>184</v>
      </c>
      <c r="C761" s="14" t="s">
        <v>141</v>
      </c>
      <c r="D761" s="14" t="s">
        <v>36</v>
      </c>
      <c r="E761" s="14" t="s">
        <v>56</v>
      </c>
      <c r="F761" s="14" t="s">
        <v>50</v>
      </c>
      <c r="G761" s="14" t="s">
        <v>68</v>
      </c>
      <c r="H761" s="14">
        <v>9</v>
      </c>
      <c r="I761" s="2">
        <v>1970</v>
      </c>
      <c r="J761" s="3">
        <v>15</v>
      </c>
      <c r="K761" s="2">
        <v>15070.5</v>
      </c>
      <c r="L761" s="2">
        <v>12809</v>
      </c>
      <c r="M761" s="2">
        <v>2261.5</v>
      </c>
      <c r="N761" s="14" t="s">
        <v>44</v>
      </c>
      <c r="O761" s="14">
        <v>1</v>
      </c>
      <c r="V761" s="2"/>
    </row>
    <row r="762" spans="1:22">
      <c r="A762">
        <v>10807</v>
      </c>
      <c r="B762" s="7" t="s">
        <v>115</v>
      </c>
      <c r="C762" s="14" t="s">
        <v>130</v>
      </c>
      <c r="D762" s="14" t="s">
        <v>36</v>
      </c>
      <c r="E762" s="14" t="s">
        <v>58</v>
      </c>
      <c r="F762" s="14" t="s">
        <v>37</v>
      </c>
      <c r="G762" s="14" t="s">
        <v>64</v>
      </c>
      <c r="H762" s="14">
        <v>14</v>
      </c>
      <c r="I762" s="2">
        <v>1610</v>
      </c>
      <c r="J762" s="3">
        <v>20</v>
      </c>
      <c r="K762" s="2">
        <v>18032</v>
      </c>
      <c r="L762" s="2">
        <v>10278</v>
      </c>
      <c r="M762" s="2">
        <v>7754</v>
      </c>
      <c r="N762" s="14" t="s">
        <v>41</v>
      </c>
      <c r="O762" s="14">
        <v>5</v>
      </c>
      <c r="V762" s="2"/>
    </row>
    <row r="763" spans="1:22">
      <c r="A763">
        <v>10808</v>
      </c>
      <c r="B763" s="7" t="s">
        <v>245</v>
      </c>
      <c r="C763" s="14" t="s">
        <v>111</v>
      </c>
      <c r="D763" s="14" t="s">
        <v>42</v>
      </c>
      <c r="E763" s="14" t="s">
        <v>58</v>
      </c>
      <c r="F763" s="14" t="s">
        <v>40</v>
      </c>
      <c r="G763" s="14" t="s">
        <v>68</v>
      </c>
      <c r="H763" s="14">
        <v>11</v>
      </c>
      <c r="I763" s="2">
        <v>1690</v>
      </c>
      <c r="J763" s="3">
        <v>20</v>
      </c>
      <c r="K763" s="2">
        <v>14872</v>
      </c>
      <c r="L763" s="2">
        <v>10261</v>
      </c>
      <c r="M763" s="2">
        <v>4611</v>
      </c>
      <c r="N763" s="14" t="s">
        <v>44</v>
      </c>
      <c r="O763" s="14">
        <v>4</v>
      </c>
      <c r="V763" s="2"/>
    </row>
    <row r="764" spans="1:22">
      <c r="A764">
        <v>10809</v>
      </c>
      <c r="B764" s="7" t="s">
        <v>184</v>
      </c>
      <c r="C764" s="14" t="s">
        <v>125</v>
      </c>
      <c r="D764" s="14" t="s">
        <v>42</v>
      </c>
      <c r="E764" s="14" t="s">
        <v>61</v>
      </c>
      <c r="F764" s="14" t="s">
        <v>117</v>
      </c>
      <c r="G764" s="14" t="s">
        <v>74</v>
      </c>
      <c r="H764" s="14">
        <v>2</v>
      </c>
      <c r="I764" s="2">
        <v>1810</v>
      </c>
      <c r="J764" s="3">
        <v>10</v>
      </c>
      <c r="K764" s="2">
        <v>3258</v>
      </c>
      <c r="L764" s="2">
        <v>2280</v>
      </c>
      <c r="M764" s="2">
        <v>978</v>
      </c>
      <c r="N764" s="14" t="s">
        <v>41</v>
      </c>
      <c r="O764" s="14">
        <v>1</v>
      </c>
      <c r="V764" s="2"/>
    </row>
    <row r="765" spans="1:22">
      <c r="A765">
        <v>10810</v>
      </c>
      <c r="B765" s="7" t="s">
        <v>188</v>
      </c>
      <c r="C765" s="14" t="s">
        <v>141</v>
      </c>
      <c r="D765" s="14" t="s">
        <v>42</v>
      </c>
      <c r="E765" s="14" t="s">
        <v>61</v>
      </c>
      <c r="F765" s="14" t="s">
        <v>117</v>
      </c>
      <c r="G765" s="14" t="s">
        <v>68</v>
      </c>
      <c r="H765" s="14">
        <v>10</v>
      </c>
      <c r="I765" s="2">
        <v>940</v>
      </c>
      <c r="J765" s="3">
        <v>10</v>
      </c>
      <c r="K765" s="2">
        <v>8460</v>
      </c>
      <c r="L765" s="2">
        <v>4906</v>
      </c>
      <c r="M765" s="2">
        <v>3554</v>
      </c>
      <c r="N765" s="14" t="s">
        <v>41</v>
      </c>
      <c r="O765" s="14">
        <v>2</v>
      </c>
      <c r="V765" s="2"/>
    </row>
    <row r="766" spans="1:22">
      <c r="A766">
        <v>10812</v>
      </c>
      <c r="B766" s="7" t="s">
        <v>311</v>
      </c>
      <c r="C766" s="14" t="s">
        <v>130</v>
      </c>
      <c r="D766" s="14" t="s">
        <v>45</v>
      </c>
      <c r="E766" s="14" t="s">
        <v>56</v>
      </c>
      <c r="F766" s="14" t="s">
        <v>49</v>
      </c>
      <c r="G766" s="14" t="s">
        <v>70</v>
      </c>
      <c r="H766" s="14">
        <v>14</v>
      </c>
      <c r="I766" s="2">
        <v>570</v>
      </c>
      <c r="J766" s="3">
        <v>10</v>
      </c>
      <c r="K766" s="2">
        <v>7182</v>
      </c>
      <c r="L766" s="2">
        <v>5099</v>
      </c>
      <c r="M766" s="2">
        <v>2083</v>
      </c>
      <c r="N766" s="14" t="s">
        <v>44</v>
      </c>
      <c r="O766" s="14">
        <v>4</v>
      </c>
      <c r="V766" s="2"/>
    </row>
    <row r="767" spans="1:22">
      <c r="A767">
        <v>10813</v>
      </c>
      <c r="B767" s="7" t="s">
        <v>296</v>
      </c>
      <c r="C767" s="14" t="s">
        <v>120</v>
      </c>
      <c r="D767" s="14" t="s">
        <v>45</v>
      </c>
      <c r="E767" s="14" t="s">
        <v>61</v>
      </c>
      <c r="F767" s="14" t="s">
        <v>143</v>
      </c>
      <c r="G767" s="14" t="s">
        <v>64</v>
      </c>
      <c r="H767" s="14">
        <v>5</v>
      </c>
      <c r="I767" s="2">
        <v>1720</v>
      </c>
      <c r="J767" s="3">
        <v>10</v>
      </c>
      <c r="K767" s="2">
        <v>7740</v>
      </c>
      <c r="L767" s="2">
        <v>5495</v>
      </c>
      <c r="M767" s="2">
        <v>2245</v>
      </c>
      <c r="N767" s="14" t="s">
        <v>41</v>
      </c>
      <c r="O767" s="14">
        <v>2</v>
      </c>
      <c r="V767" s="2"/>
    </row>
    <row r="768" spans="1:22">
      <c r="A768">
        <v>10814</v>
      </c>
      <c r="B768" s="7" t="s">
        <v>492</v>
      </c>
      <c r="C768" s="14" t="s">
        <v>116</v>
      </c>
      <c r="D768" s="14" t="s">
        <v>36</v>
      </c>
      <c r="E768" s="14" t="s">
        <v>58</v>
      </c>
      <c r="F768" s="14" t="s">
        <v>43</v>
      </c>
      <c r="G768" s="14" t="s">
        <v>72</v>
      </c>
      <c r="H768" s="14">
        <v>6</v>
      </c>
      <c r="I768" s="2">
        <v>480</v>
      </c>
      <c r="J768" s="3">
        <v>5</v>
      </c>
      <c r="K768" s="2">
        <v>2736</v>
      </c>
      <c r="L768" s="2">
        <v>1504</v>
      </c>
      <c r="M768" s="2">
        <v>1232</v>
      </c>
      <c r="N768" s="14" t="s">
        <v>47</v>
      </c>
      <c r="O768" s="14">
        <v>2</v>
      </c>
      <c r="V768" s="2"/>
    </row>
    <row r="769" spans="1:22">
      <c r="A769">
        <v>10815</v>
      </c>
      <c r="B769" s="7" t="s">
        <v>400</v>
      </c>
      <c r="C769" s="14" t="s">
        <v>135</v>
      </c>
      <c r="D769" s="14" t="s">
        <v>42</v>
      </c>
      <c r="E769" s="14" t="s">
        <v>61</v>
      </c>
      <c r="F769" s="14" t="s">
        <v>117</v>
      </c>
      <c r="G769" s="14" t="s">
        <v>64</v>
      </c>
      <c r="H769" s="14">
        <v>6</v>
      </c>
      <c r="I769" s="2">
        <v>720</v>
      </c>
      <c r="J769" s="3">
        <v>20</v>
      </c>
      <c r="K769" s="2">
        <v>3456</v>
      </c>
      <c r="L769" s="2">
        <v>2246</v>
      </c>
      <c r="M769" s="2">
        <v>1210</v>
      </c>
      <c r="N769" s="14" t="s">
        <v>41</v>
      </c>
      <c r="O769" s="14">
        <v>3</v>
      </c>
      <c r="V769" s="2"/>
    </row>
    <row r="770" spans="1:22">
      <c r="A770">
        <v>10816</v>
      </c>
      <c r="B770" s="7" t="s">
        <v>152</v>
      </c>
      <c r="C770" s="14" t="s">
        <v>147</v>
      </c>
      <c r="D770" s="14" t="s">
        <v>42</v>
      </c>
      <c r="E770" s="14" t="s">
        <v>61</v>
      </c>
      <c r="F770" s="14" t="s">
        <v>51</v>
      </c>
      <c r="G770" s="14" t="s">
        <v>66</v>
      </c>
      <c r="H770" s="14">
        <v>12</v>
      </c>
      <c r="I770" s="2">
        <v>1120</v>
      </c>
      <c r="J770" s="3">
        <v>20</v>
      </c>
      <c r="K770" s="2">
        <v>10752</v>
      </c>
      <c r="L770" s="2">
        <v>8171</v>
      </c>
      <c r="M770" s="2">
        <v>2581</v>
      </c>
      <c r="N770" s="14" t="s">
        <v>41</v>
      </c>
      <c r="O770" s="14">
        <v>5</v>
      </c>
      <c r="V770" s="2"/>
    </row>
    <row r="771" spans="1:22">
      <c r="A771">
        <v>10818</v>
      </c>
      <c r="B771" s="7" t="s">
        <v>490</v>
      </c>
      <c r="C771" s="14" t="s">
        <v>125</v>
      </c>
      <c r="D771" s="14" t="s">
        <v>39</v>
      </c>
      <c r="E771" s="14" t="s">
        <v>58</v>
      </c>
      <c r="F771" s="14" t="s">
        <v>37</v>
      </c>
      <c r="G771" s="14" t="s">
        <v>68</v>
      </c>
      <c r="H771" s="14">
        <v>13</v>
      </c>
      <c r="I771" s="2">
        <v>1840</v>
      </c>
      <c r="J771" s="3">
        <v>5</v>
      </c>
      <c r="K771" s="2">
        <v>22724</v>
      </c>
      <c r="L771" s="2">
        <v>17043</v>
      </c>
      <c r="M771" s="2">
        <v>5681</v>
      </c>
      <c r="N771" s="14" t="s">
        <v>41</v>
      </c>
      <c r="O771" s="14">
        <v>5</v>
      </c>
      <c r="V771" s="2"/>
    </row>
    <row r="772" spans="1:22">
      <c r="A772">
        <v>10819</v>
      </c>
      <c r="B772" s="7" t="s">
        <v>470</v>
      </c>
      <c r="C772" s="14" t="s">
        <v>120</v>
      </c>
      <c r="D772" s="14" t="s">
        <v>42</v>
      </c>
      <c r="E772" s="14" t="s">
        <v>56</v>
      </c>
      <c r="F772" s="14" t="s">
        <v>131</v>
      </c>
      <c r="G772" s="14" t="s">
        <v>66</v>
      </c>
      <c r="H772" s="14">
        <v>13</v>
      </c>
      <c r="I772" s="2">
        <v>1880</v>
      </c>
      <c r="J772" s="3">
        <v>10</v>
      </c>
      <c r="K772" s="2">
        <v>21996</v>
      </c>
      <c r="L772" s="2">
        <v>13417</v>
      </c>
      <c r="M772" s="2">
        <v>8579</v>
      </c>
      <c r="N772" s="14" t="s">
        <v>38</v>
      </c>
      <c r="O772" s="14">
        <v>4</v>
      </c>
      <c r="V772" s="2"/>
    </row>
    <row r="773" spans="1:22">
      <c r="A773">
        <v>10820</v>
      </c>
      <c r="B773" s="7" t="s">
        <v>542</v>
      </c>
      <c r="C773" s="14" t="s">
        <v>137</v>
      </c>
      <c r="D773" s="14" t="s">
        <v>42</v>
      </c>
      <c r="E773" s="14" t="s">
        <v>58</v>
      </c>
      <c r="F773" s="14" t="s">
        <v>40</v>
      </c>
      <c r="G773" s="14" t="s">
        <v>64</v>
      </c>
      <c r="H773" s="14">
        <v>4</v>
      </c>
      <c r="I773" s="2">
        <v>1690</v>
      </c>
      <c r="J773" s="3">
        <v>5</v>
      </c>
      <c r="K773" s="2">
        <v>6422</v>
      </c>
      <c r="L773" s="2">
        <v>4495</v>
      </c>
      <c r="M773" s="2">
        <v>1927</v>
      </c>
      <c r="N773" s="14" t="s">
        <v>41</v>
      </c>
      <c r="O773" s="14">
        <v>1</v>
      </c>
      <c r="V773" s="2"/>
    </row>
    <row r="774" spans="1:22">
      <c r="A774">
        <v>10821</v>
      </c>
      <c r="B774" s="7" t="s">
        <v>543</v>
      </c>
      <c r="C774" s="14" t="s">
        <v>141</v>
      </c>
      <c r="D774" s="14" t="s">
        <v>36</v>
      </c>
      <c r="E774" s="14" t="s">
        <v>56</v>
      </c>
      <c r="F774" s="14" t="s">
        <v>49</v>
      </c>
      <c r="G774" s="14" t="s">
        <v>74</v>
      </c>
      <c r="H774" s="14">
        <v>11</v>
      </c>
      <c r="I774" s="2">
        <v>590</v>
      </c>
      <c r="J774" s="3">
        <v>10</v>
      </c>
      <c r="K774" s="2">
        <v>5841</v>
      </c>
      <c r="L774" s="2">
        <v>4322</v>
      </c>
      <c r="M774" s="2">
        <v>1519</v>
      </c>
      <c r="N774" s="14" t="s">
        <v>47</v>
      </c>
      <c r="O774" s="14">
        <v>2</v>
      </c>
      <c r="V774" s="2"/>
    </row>
    <row r="775" spans="1:22">
      <c r="A775">
        <v>10822</v>
      </c>
      <c r="B775" s="7" t="s">
        <v>539</v>
      </c>
      <c r="C775" s="14" t="s">
        <v>130</v>
      </c>
      <c r="D775" s="14" t="s">
        <v>45</v>
      </c>
      <c r="E775" s="14" t="s">
        <v>56</v>
      </c>
      <c r="F775" s="14" t="s">
        <v>49</v>
      </c>
      <c r="G775" s="14" t="s">
        <v>66</v>
      </c>
      <c r="H775" s="14">
        <v>13</v>
      </c>
      <c r="I775" s="2">
        <v>1830</v>
      </c>
      <c r="J775" s="3">
        <v>20</v>
      </c>
      <c r="K775" s="2">
        <v>19032</v>
      </c>
      <c r="L775" s="2">
        <v>14464</v>
      </c>
      <c r="M775" s="2">
        <v>4568</v>
      </c>
      <c r="N775" s="14" t="s">
        <v>38</v>
      </c>
      <c r="O775" s="14">
        <v>2</v>
      </c>
      <c r="V775" s="2"/>
    </row>
    <row r="776" spans="1:22">
      <c r="A776">
        <v>10823</v>
      </c>
      <c r="B776" s="7" t="s">
        <v>386</v>
      </c>
      <c r="C776" s="14" t="s">
        <v>135</v>
      </c>
      <c r="D776" s="14" t="s">
        <v>39</v>
      </c>
      <c r="E776" s="14" t="s">
        <v>61</v>
      </c>
      <c r="F776" s="14" t="s">
        <v>51</v>
      </c>
      <c r="G776" s="14" t="s">
        <v>66</v>
      </c>
      <c r="H776" s="14">
        <v>13</v>
      </c>
      <c r="I776" s="2">
        <v>2000</v>
      </c>
      <c r="J776" s="3">
        <v>15</v>
      </c>
      <c r="K776" s="2">
        <v>22100</v>
      </c>
      <c r="L776" s="2">
        <v>13260</v>
      </c>
      <c r="M776" s="2">
        <v>8840</v>
      </c>
      <c r="N776" s="14" t="s">
        <v>38</v>
      </c>
      <c r="O776" s="14">
        <v>5</v>
      </c>
      <c r="V776" s="2"/>
    </row>
    <row r="777" spans="1:22">
      <c r="A777">
        <v>10824</v>
      </c>
      <c r="B777" s="7" t="s">
        <v>337</v>
      </c>
      <c r="C777" s="14" t="s">
        <v>135</v>
      </c>
      <c r="D777" s="14" t="s">
        <v>42</v>
      </c>
      <c r="E777" s="14" t="s">
        <v>61</v>
      </c>
      <c r="F777" s="14" t="s">
        <v>143</v>
      </c>
      <c r="G777" s="14" t="s">
        <v>70</v>
      </c>
      <c r="H777" s="14">
        <v>10</v>
      </c>
      <c r="I777" s="2">
        <v>930</v>
      </c>
      <c r="J777" s="3">
        <v>5</v>
      </c>
      <c r="K777" s="2">
        <v>8835</v>
      </c>
      <c r="L777" s="2">
        <v>6802</v>
      </c>
      <c r="M777" s="2">
        <v>2033</v>
      </c>
      <c r="N777" s="14" t="s">
        <v>47</v>
      </c>
      <c r="O777" s="14">
        <v>2</v>
      </c>
      <c r="V777" s="2"/>
    </row>
    <row r="778" spans="1:22">
      <c r="A778">
        <v>10825</v>
      </c>
      <c r="B778" s="7" t="s">
        <v>282</v>
      </c>
      <c r="C778" s="14" t="s">
        <v>128</v>
      </c>
      <c r="D778" s="14" t="s">
        <v>36</v>
      </c>
      <c r="E778" s="14" t="s">
        <v>58</v>
      </c>
      <c r="F778" s="14" t="s">
        <v>40</v>
      </c>
      <c r="G778" s="14" t="s">
        <v>63</v>
      </c>
      <c r="H778" s="14">
        <v>11</v>
      </c>
      <c r="I778" s="2">
        <v>870</v>
      </c>
      <c r="J778" s="3">
        <v>10</v>
      </c>
      <c r="K778" s="2">
        <v>8613</v>
      </c>
      <c r="L778" s="2">
        <v>5856</v>
      </c>
      <c r="M778" s="2">
        <v>2757</v>
      </c>
      <c r="N778" s="14" t="s">
        <v>38</v>
      </c>
      <c r="O778" s="14">
        <v>3</v>
      </c>
      <c r="V778" s="2"/>
    </row>
    <row r="779" spans="1:22">
      <c r="A779">
        <v>10826</v>
      </c>
      <c r="B779" s="7" t="s">
        <v>307</v>
      </c>
      <c r="C779" s="14" t="s">
        <v>137</v>
      </c>
      <c r="D779" s="14" t="s">
        <v>39</v>
      </c>
      <c r="E779" s="14" t="s">
        <v>58</v>
      </c>
      <c r="F779" s="14" t="s">
        <v>40</v>
      </c>
      <c r="G779" s="14" t="s">
        <v>68</v>
      </c>
      <c r="H779" s="14">
        <v>11</v>
      </c>
      <c r="I779" s="2">
        <v>550</v>
      </c>
      <c r="J779" s="3">
        <v>10</v>
      </c>
      <c r="K779" s="2">
        <v>5445</v>
      </c>
      <c r="L779" s="2">
        <v>3484</v>
      </c>
      <c r="M779" s="2">
        <v>1961</v>
      </c>
      <c r="N779" s="14" t="s">
        <v>41</v>
      </c>
      <c r="O779" s="14">
        <v>1</v>
      </c>
      <c r="V779" s="2"/>
    </row>
    <row r="780" spans="1:22">
      <c r="A780">
        <v>10828</v>
      </c>
      <c r="B780" s="7" t="s">
        <v>303</v>
      </c>
      <c r="C780" s="14" t="s">
        <v>125</v>
      </c>
      <c r="D780" s="14" t="s">
        <v>42</v>
      </c>
      <c r="E780" s="14" t="s">
        <v>58</v>
      </c>
      <c r="F780" s="14" t="s">
        <v>43</v>
      </c>
      <c r="G780" s="14" t="s">
        <v>74</v>
      </c>
      <c r="H780" s="14">
        <v>11</v>
      </c>
      <c r="I780" s="2">
        <v>260</v>
      </c>
      <c r="J780" s="3">
        <v>20</v>
      </c>
      <c r="K780" s="2">
        <v>2288</v>
      </c>
      <c r="L780" s="2">
        <v>1738</v>
      </c>
      <c r="M780" s="2">
        <v>550</v>
      </c>
      <c r="N780" s="14" t="s">
        <v>38</v>
      </c>
      <c r="O780" s="14">
        <v>2</v>
      </c>
      <c r="V780" s="2"/>
    </row>
    <row r="781" spans="1:22">
      <c r="A781">
        <v>10829</v>
      </c>
      <c r="B781" s="7" t="s">
        <v>544</v>
      </c>
      <c r="C781" s="14" t="s">
        <v>111</v>
      </c>
      <c r="D781" s="14" t="s">
        <v>36</v>
      </c>
      <c r="E781" s="14" t="s">
        <v>61</v>
      </c>
      <c r="F781" s="14" t="s">
        <v>46</v>
      </c>
      <c r="G781" s="14" t="s">
        <v>64</v>
      </c>
      <c r="H781" s="14">
        <v>15</v>
      </c>
      <c r="I781" s="2">
        <v>530</v>
      </c>
      <c r="J781" s="3">
        <v>0</v>
      </c>
      <c r="K781" s="2">
        <v>7950</v>
      </c>
      <c r="L781" s="2">
        <v>6360</v>
      </c>
      <c r="M781" s="2">
        <v>1590</v>
      </c>
      <c r="N781" s="14" t="s">
        <v>44</v>
      </c>
      <c r="O781" s="14">
        <v>2</v>
      </c>
      <c r="V781" s="2"/>
    </row>
    <row r="782" spans="1:22">
      <c r="A782">
        <v>10831</v>
      </c>
      <c r="B782" s="7" t="s">
        <v>306</v>
      </c>
      <c r="C782" s="14" t="s">
        <v>128</v>
      </c>
      <c r="D782" s="14" t="s">
        <v>42</v>
      </c>
      <c r="E782" s="14" t="s">
        <v>58</v>
      </c>
      <c r="F782" s="14" t="s">
        <v>43</v>
      </c>
      <c r="G782" s="14" t="s">
        <v>70</v>
      </c>
      <c r="H782" s="14">
        <v>9</v>
      </c>
      <c r="I782" s="2">
        <v>1680</v>
      </c>
      <c r="J782" s="3">
        <v>5</v>
      </c>
      <c r="K782" s="2">
        <v>14364</v>
      </c>
      <c r="L782" s="2">
        <v>10054</v>
      </c>
      <c r="M782" s="2">
        <v>4310</v>
      </c>
      <c r="N782" s="14" t="s">
        <v>47</v>
      </c>
      <c r="O782" s="14">
        <v>1</v>
      </c>
      <c r="V782" s="2"/>
    </row>
    <row r="783" spans="1:22">
      <c r="A783">
        <v>10832</v>
      </c>
      <c r="B783" s="7" t="s">
        <v>545</v>
      </c>
      <c r="C783" s="14" t="s">
        <v>130</v>
      </c>
      <c r="D783" s="14" t="s">
        <v>42</v>
      </c>
      <c r="E783" s="14" t="s">
        <v>61</v>
      </c>
      <c r="F783" s="14" t="s">
        <v>117</v>
      </c>
      <c r="G783" s="14" t="s">
        <v>70</v>
      </c>
      <c r="H783" s="14">
        <v>11</v>
      </c>
      <c r="I783" s="2">
        <v>1750</v>
      </c>
      <c r="J783" s="3">
        <v>10</v>
      </c>
      <c r="K783" s="2">
        <v>17325</v>
      </c>
      <c r="L783" s="2">
        <v>14379</v>
      </c>
      <c r="M783" s="2">
        <v>2946</v>
      </c>
      <c r="N783" s="14" t="s">
        <v>41</v>
      </c>
      <c r="O783" s="14">
        <v>4</v>
      </c>
      <c r="V783" s="2"/>
    </row>
    <row r="784" spans="1:22">
      <c r="A784">
        <v>10833</v>
      </c>
      <c r="B784" s="7" t="s">
        <v>544</v>
      </c>
      <c r="C784" s="14" t="s">
        <v>128</v>
      </c>
      <c r="D784" s="14" t="s">
        <v>42</v>
      </c>
      <c r="E784" s="14" t="s">
        <v>56</v>
      </c>
      <c r="F784" s="14" t="s">
        <v>50</v>
      </c>
      <c r="G784" s="14" t="s">
        <v>63</v>
      </c>
      <c r="H784" s="14">
        <v>4</v>
      </c>
      <c r="I784" s="2">
        <v>870</v>
      </c>
      <c r="J784" s="3">
        <v>10</v>
      </c>
      <c r="K784" s="2">
        <v>3132</v>
      </c>
      <c r="L784" s="2">
        <v>2004</v>
      </c>
      <c r="M784" s="2">
        <v>1128</v>
      </c>
      <c r="N784" s="14" t="s">
        <v>41</v>
      </c>
      <c r="O784" s="14">
        <v>1</v>
      </c>
      <c r="V784" s="2"/>
    </row>
    <row r="785" spans="1:22">
      <c r="A785">
        <v>10835</v>
      </c>
      <c r="B785" s="7" t="s">
        <v>346</v>
      </c>
      <c r="C785" s="14" t="s">
        <v>147</v>
      </c>
      <c r="D785" s="14" t="s">
        <v>36</v>
      </c>
      <c r="E785" s="14" t="s">
        <v>58</v>
      </c>
      <c r="F785" s="14" t="s">
        <v>40</v>
      </c>
      <c r="G785" s="14" t="s">
        <v>68</v>
      </c>
      <c r="H785" s="14">
        <v>9</v>
      </c>
      <c r="I785" s="2">
        <v>1430</v>
      </c>
      <c r="J785" s="3">
        <v>15</v>
      </c>
      <c r="K785" s="2">
        <v>10939.5</v>
      </c>
      <c r="L785" s="2">
        <v>6016</v>
      </c>
      <c r="M785" s="2">
        <v>4923.5</v>
      </c>
      <c r="N785" s="14" t="s">
        <v>47</v>
      </c>
      <c r="O785" s="14">
        <v>1</v>
      </c>
      <c r="V785" s="2"/>
    </row>
    <row r="786" spans="1:22">
      <c r="A786">
        <v>10836</v>
      </c>
      <c r="B786" s="7" t="s">
        <v>304</v>
      </c>
      <c r="C786" s="14" t="s">
        <v>111</v>
      </c>
      <c r="D786" s="14" t="s">
        <v>42</v>
      </c>
      <c r="E786" s="14" t="s">
        <v>58</v>
      </c>
      <c r="F786" s="14" t="s">
        <v>43</v>
      </c>
      <c r="G786" s="14" t="s">
        <v>63</v>
      </c>
      <c r="H786" s="14">
        <v>15</v>
      </c>
      <c r="I786" s="2">
        <v>990</v>
      </c>
      <c r="J786" s="3">
        <v>10</v>
      </c>
      <c r="K786" s="2">
        <v>13365</v>
      </c>
      <c r="L786" s="2">
        <v>8553</v>
      </c>
      <c r="M786" s="2">
        <v>4812</v>
      </c>
      <c r="N786" s="14" t="s">
        <v>38</v>
      </c>
      <c r="O786" s="14">
        <v>4</v>
      </c>
      <c r="V786" s="2"/>
    </row>
    <row r="787" spans="1:22">
      <c r="A787">
        <v>10837</v>
      </c>
      <c r="B787" s="7" t="s">
        <v>252</v>
      </c>
      <c r="C787" s="14" t="s">
        <v>130</v>
      </c>
      <c r="D787" s="14" t="s">
        <v>39</v>
      </c>
      <c r="E787" s="14" t="s">
        <v>58</v>
      </c>
      <c r="F787" s="14" t="s">
        <v>40</v>
      </c>
      <c r="G787" s="14" t="s">
        <v>66</v>
      </c>
      <c r="H787" s="14">
        <v>9</v>
      </c>
      <c r="I787" s="2">
        <v>600</v>
      </c>
      <c r="J787" s="3">
        <v>5</v>
      </c>
      <c r="K787" s="2">
        <v>5130</v>
      </c>
      <c r="L787" s="2">
        <v>4309</v>
      </c>
      <c r="M787" s="2">
        <v>821</v>
      </c>
      <c r="N787" s="14" t="s">
        <v>41</v>
      </c>
      <c r="O787" s="14">
        <v>1</v>
      </c>
      <c r="V787" s="2"/>
    </row>
    <row r="788" spans="1:22">
      <c r="A788">
        <v>10839</v>
      </c>
      <c r="B788" s="7" t="s">
        <v>546</v>
      </c>
      <c r="C788" s="14" t="s">
        <v>137</v>
      </c>
      <c r="D788" s="14" t="s">
        <v>45</v>
      </c>
      <c r="E788" s="14" t="s">
        <v>58</v>
      </c>
      <c r="F788" s="14" t="s">
        <v>37</v>
      </c>
      <c r="G788" s="14" t="s">
        <v>66</v>
      </c>
      <c r="H788" s="14">
        <v>12</v>
      </c>
      <c r="I788" s="2">
        <v>1330</v>
      </c>
      <c r="J788" s="3">
        <v>10</v>
      </c>
      <c r="K788" s="2">
        <v>14364</v>
      </c>
      <c r="L788" s="2">
        <v>9336</v>
      </c>
      <c r="M788" s="2">
        <v>5028</v>
      </c>
      <c r="N788" s="14" t="s">
        <v>38</v>
      </c>
      <c r="O788" s="14">
        <v>3</v>
      </c>
      <c r="V788" s="2"/>
    </row>
    <row r="789" spans="1:22">
      <c r="A789">
        <v>10840</v>
      </c>
      <c r="B789" s="7" t="s">
        <v>252</v>
      </c>
      <c r="C789" s="14" t="s">
        <v>111</v>
      </c>
      <c r="D789" s="14" t="s">
        <v>45</v>
      </c>
      <c r="E789" s="14" t="s">
        <v>61</v>
      </c>
      <c r="F789" s="14" t="s">
        <v>143</v>
      </c>
      <c r="G789" s="14" t="s">
        <v>66</v>
      </c>
      <c r="H789" s="14">
        <v>4</v>
      </c>
      <c r="I789" s="2">
        <v>1630</v>
      </c>
      <c r="J789" s="3">
        <v>5</v>
      </c>
      <c r="K789" s="2">
        <v>6194</v>
      </c>
      <c r="L789" s="2">
        <v>4026</v>
      </c>
      <c r="M789" s="2">
        <v>2168</v>
      </c>
      <c r="N789" s="14" t="s">
        <v>47</v>
      </c>
      <c r="O789" s="14">
        <v>1</v>
      </c>
      <c r="V789" s="2"/>
    </row>
    <row r="790" spans="1:22">
      <c r="A790">
        <v>10841</v>
      </c>
      <c r="B790" s="7" t="s">
        <v>259</v>
      </c>
      <c r="C790" s="14" t="s">
        <v>111</v>
      </c>
      <c r="D790" s="14" t="s">
        <v>45</v>
      </c>
      <c r="E790" s="14" t="s">
        <v>58</v>
      </c>
      <c r="F790" s="14" t="s">
        <v>55</v>
      </c>
      <c r="G790" s="14" t="s">
        <v>63</v>
      </c>
      <c r="H790" s="14">
        <v>2</v>
      </c>
      <c r="I790" s="2">
        <v>440</v>
      </c>
      <c r="J790" s="3">
        <v>10</v>
      </c>
      <c r="K790" s="2">
        <v>792</v>
      </c>
      <c r="L790" s="2">
        <v>459</v>
      </c>
      <c r="M790" s="2">
        <v>333</v>
      </c>
      <c r="N790" s="14" t="s">
        <v>47</v>
      </c>
      <c r="O790" s="14">
        <v>2</v>
      </c>
      <c r="V790" s="2"/>
    </row>
    <row r="791" spans="1:22">
      <c r="A791">
        <v>10842</v>
      </c>
      <c r="B791" s="7" t="s">
        <v>138</v>
      </c>
      <c r="C791" s="14" t="s">
        <v>111</v>
      </c>
      <c r="D791" s="14" t="s">
        <v>39</v>
      </c>
      <c r="E791" s="14" t="s">
        <v>58</v>
      </c>
      <c r="F791" s="14" t="s">
        <v>43</v>
      </c>
      <c r="G791" s="14" t="s">
        <v>74</v>
      </c>
      <c r="H791" s="14">
        <v>11</v>
      </c>
      <c r="I791" s="2">
        <v>780</v>
      </c>
      <c r="J791" s="3">
        <v>20</v>
      </c>
      <c r="K791" s="2">
        <v>6864</v>
      </c>
      <c r="L791" s="2">
        <v>5216</v>
      </c>
      <c r="M791" s="2">
        <v>1648</v>
      </c>
      <c r="N791" s="14" t="s">
        <v>47</v>
      </c>
      <c r="O791" s="14">
        <v>4</v>
      </c>
      <c r="V791" s="2"/>
    </row>
    <row r="792" spans="1:22">
      <c r="A792">
        <v>10843</v>
      </c>
      <c r="B792" s="7" t="s">
        <v>456</v>
      </c>
      <c r="C792" s="14" t="s">
        <v>130</v>
      </c>
      <c r="D792" s="14" t="s">
        <v>45</v>
      </c>
      <c r="E792" s="14" t="s">
        <v>58</v>
      </c>
      <c r="F792" s="14" t="s">
        <v>37</v>
      </c>
      <c r="G792" s="14" t="s">
        <v>70</v>
      </c>
      <c r="H792" s="14">
        <v>15</v>
      </c>
      <c r="I792" s="2">
        <v>730</v>
      </c>
      <c r="J792" s="3">
        <v>0</v>
      </c>
      <c r="K792" s="2">
        <v>10950</v>
      </c>
      <c r="L792" s="2">
        <v>8212</v>
      </c>
      <c r="M792" s="2">
        <v>2738</v>
      </c>
      <c r="N792" s="14" t="s">
        <v>38</v>
      </c>
      <c r="O792" s="14">
        <v>1</v>
      </c>
      <c r="V792" s="2"/>
    </row>
    <row r="793" spans="1:22">
      <c r="A793">
        <v>10844</v>
      </c>
      <c r="B793" s="7" t="s">
        <v>547</v>
      </c>
      <c r="C793" s="14" t="s">
        <v>116</v>
      </c>
      <c r="D793" s="14" t="s">
        <v>42</v>
      </c>
      <c r="E793" s="14" t="s">
        <v>61</v>
      </c>
      <c r="F793" s="14" t="s">
        <v>46</v>
      </c>
      <c r="G793" s="14" t="s">
        <v>74</v>
      </c>
      <c r="H793" s="14">
        <v>6</v>
      </c>
      <c r="I793" s="2">
        <v>1690</v>
      </c>
      <c r="J793" s="3">
        <v>10</v>
      </c>
      <c r="K793" s="2">
        <v>9126</v>
      </c>
      <c r="L793" s="2">
        <v>7665</v>
      </c>
      <c r="M793" s="2">
        <v>1461</v>
      </c>
      <c r="N793" s="14" t="s">
        <v>47</v>
      </c>
      <c r="O793" s="14">
        <v>3</v>
      </c>
      <c r="V793" s="2"/>
    </row>
    <row r="794" spans="1:22">
      <c r="A794">
        <v>10845</v>
      </c>
      <c r="B794" s="7" t="s">
        <v>534</v>
      </c>
      <c r="C794" s="14" t="s">
        <v>120</v>
      </c>
      <c r="D794" s="14" t="s">
        <v>42</v>
      </c>
      <c r="E794" s="14" t="s">
        <v>61</v>
      </c>
      <c r="F794" s="14" t="s">
        <v>46</v>
      </c>
      <c r="G794" s="14" t="s">
        <v>66</v>
      </c>
      <c r="H794" s="14">
        <v>14</v>
      </c>
      <c r="I794" s="2">
        <v>780</v>
      </c>
      <c r="J794" s="3">
        <v>10</v>
      </c>
      <c r="K794" s="2">
        <v>9828</v>
      </c>
      <c r="L794" s="2">
        <v>6191</v>
      </c>
      <c r="M794" s="2">
        <v>3637</v>
      </c>
      <c r="N794" s="14" t="s">
        <v>44</v>
      </c>
      <c r="O794" s="14">
        <v>5</v>
      </c>
      <c r="V794" s="2"/>
    </row>
    <row r="795" spans="1:22">
      <c r="A795">
        <v>10846</v>
      </c>
      <c r="B795" s="7" t="s">
        <v>548</v>
      </c>
      <c r="C795" s="14" t="s">
        <v>116</v>
      </c>
      <c r="D795" s="14" t="s">
        <v>42</v>
      </c>
      <c r="E795" s="14" t="s">
        <v>58</v>
      </c>
      <c r="F795" s="14" t="s">
        <v>40</v>
      </c>
      <c r="G795" s="14" t="s">
        <v>66</v>
      </c>
      <c r="H795" s="14">
        <v>8</v>
      </c>
      <c r="I795" s="2">
        <v>730</v>
      </c>
      <c r="J795" s="3">
        <v>20</v>
      </c>
      <c r="K795" s="2">
        <v>4672</v>
      </c>
      <c r="L795" s="2">
        <v>3877</v>
      </c>
      <c r="M795" s="2">
        <v>795</v>
      </c>
      <c r="N795" s="14" t="s">
        <v>47</v>
      </c>
      <c r="O795" s="14">
        <v>3</v>
      </c>
      <c r="V795" s="2"/>
    </row>
    <row r="796" spans="1:22">
      <c r="A796">
        <v>10847</v>
      </c>
      <c r="B796" s="7" t="s">
        <v>258</v>
      </c>
      <c r="C796" s="14" t="s">
        <v>147</v>
      </c>
      <c r="D796" s="14" t="s">
        <v>39</v>
      </c>
      <c r="E796" s="14" t="s">
        <v>56</v>
      </c>
      <c r="F796" s="14" t="s">
        <v>57</v>
      </c>
      <c r="G796" s="14" t="s">
        <v>74</v>
      </c>
      <c r="H796" s="14">
        <v>13</v>
      </c>
      <c r="I796" s="2">
        <v>1160</v>
      </c>
      <c r="J796" s="3">
        <v>10</v>
      </c>
      <c r="K796" s="2">
        <v>13572</v>
      </c>
      <c r="L796" s="2">
        <v>8957</v>
      </c>
      <c r="M796" s="2">
        <v>4615</v>
      </c>
      <c r="N796" s="14" t="s">
        <v>41</v>
      </c>
      <c r="O796" s="14">
        <v>2</v>
      </c>
      <c r="V796" s="2"/>
    </row>
    <row r="797" spans="1:22">
      <c r="A797">
        <v>10848</v>
      </c>
      <c r="B797" s="7" t="s">
        <v>343</v>
      </c>
      <c r="C797" s="14" t="s">
        <v>147</v>
      </c>
      <c r="D797" s="14" t="s">
        <v>39</v>
      </c>
      <c r="E797" s="14" t="s">
        <v>61</v>
      </c>
      <c r="F797" s="14" t="s">
        <v>52</v>
      </c>
      <c r="G797" s="14" t="s">
        <v>70</v>
      </c>
      <c r="H797" s="14">
        <v>13</v>
      </c>
      <c r="I797" s="2">
        <v>1620</v>
      </c>
      <c r="J797" s="3">
        <v>10</v>
      </c>
      <c r="K797" s="2">
        <v>18954</v>
      </c>
      <c r="L797" s="2">
        <v>11182</v>
      </c>
      <c r="M797" s="2">
        <v>7772</v>
      </c>
      <c r="N797" s="14" t="s">
        <v>41</v>
      </c>
      <c r="O797" s="14">
        <v>2</v>
      </c>
      <c r="V797" s="2"/>
    </row>
    <row r="798" spans="1:22">
      <c r="A798">
        <v>10849</v>
      </c>
      <c r="B798" s="7" t="s">
        <v>241</v>
      </c>
      <c r="C798" s="14" t="s">
        <v>128</v>
      </c>
      <c r="D798" s="14" t="s">
        <v>42</v>
      </c>
      <c r="E798" s="14" t="s">
        <v>58</v>
      </c>
      <c r="F798" s="14" t="s">
        <v>37</v>
      </c>
      <c r="G798" s="14" t="s">
        <v>66</v>
      </c>
      <c r="H798" s="14">
        <v>9</v>
      </c>
      <c r="I798" s="2">
        <v>480</v>
      </c>
      <c r="J798" s="3">
        <v>5</v>
      </c>
      <c r="K798" s="2">
        <v>4104</v>
      </c>
      <c r="L798" s="2">
        <v>2913</v>
      </c>
      <c r="M798" s="2">
        <v>1191</v>
      </c>
      <c r="N798" s="14" t="s">
        <v>44</v>
      </c>
      <c r="O798" s="14">
        <v>1</v>
      </c>
      <c r="V798" s="2"/>
    </row>
    <row r="799" spans="1:22">
      <c r="A799">
        <v>10850</v>
      </c>
      <c r="B799" s="7" t="s">
        <v>484</v>
      </c>
      <c r="C799" s="14" t="s">
        <v>141</v>
      </c>
      <c r="D799" s="14" t="s">
        <v>42</v>
      </c>
      <c r="E799" s="14" t="s">
        <v>56</v>
      </c>
      <c r="F799" s="14" t="s">
        <v>131</v>
      </c>
      <c r="G799" s="14" t="s">
        <v>68</v>
      </c>
      <c r="H799" s="14">
        <v>5</v>
      </c>
      <c r="I799" s="2">
        <v>1490</v>
      </c>
      <c r="J799" s="3">
        <v>0</v>
      </c>
      <c r="K799" s="2">
        <v>7450</v>
      </c>
      <c r="L799" s="2">
        <v>4246</v>
      </c>
      <c r="M799" s="2">
        <v>3204</v>
      </c>
      <c r="N799" s="14" t="s">
        <v>44</v>
      </c>
      <c r="O799" s="14">
        <v>5</v>
      </c>
      <c r="V799" s="2"/>
    </row>
    <row r="800" spans="1:22">
      <c r="A800">
        <v>10851</v>
      </c>
      <c r="B800" s="7" t="s">
        <v>506</v>
      </c>
      <c r="C800" s="14" t="s">
        <v>147</v>
      </c>
      <c r="D800" s="14" t="s">
        <v>42</v>
      </c>
      <c r="E800" s="14" t="s">
        <v>61</v>
      </c>
      <c r="F800" s="14" t="s">
        <v>46</v>
      </c>
      <c r="G800" s="14" t="s">
        <v>74</v>
      </c>
      <c r="H800" s="14">
        <v>11</v>
      </c>
      <c r="I800" s="2">
        <v>810</v>
      </c>
      <c r="J800" s="3">
        <v>10</v>
      </c>
      <c r="K800" s="2">
        <v>8019</v>
      </c>
      <c r="L800" s="2">
        <v>6575</v>
      </c>
      <c r="M800" s="2">
        <v>1444</v>
      </c>
      <c r="N800" s="14" t="s">
        <v>44</v>
      </c>
      <c r="O800" s="14">
        <v>4</v>
      </c>
      <c r="V800" s="2"/>
    </row>
    <row r="801" spans="1:22">
      <c r="A801">
        <v>10852</v>
      </c>
      <c r="B801" s="7" t="s">
        <v>196</v>
      </c>
      <c r="C801" s="14" t="s">
        <v>128</v>
      </c>
      <c r="D801" s="14" t="s">
        <v>42</v>
      </c>
      <c r="E801" s="14" t="s">
        <v>56</v>
      </c>
      <c r="F801" s="14" t="s">
        <v>57</v>
      </c>
      <c r="G801" s="14" t="s">
        <v>72</v>
      </c>
      <c r="H801" s="14">
        <v>5</v>
      </c>
      <c r="I801" s="2">
        <v>1790</v>
      </c>
      <c r="J801" s="3">
        <v>20</v>
      </c>
      <c r="K801" s="2">
        <v>7160</v>
      </c>
      <c r="L801" s="2">
        <v>5799</v>
      </c>
      <c r="M801" s="2">
        <v>1361</v>
      </c>
      <c r="N801" s="14" t="s">
        <v>47</v>
      </c>
      <c r="O801" s="14">
        <v>5</v>
      </c>
      <c r="V801" s="2"/>
    </row>
    <row r="802" spans="1:22">
      <c r="A802">
        <v>10853</v>
      </c>
      <c r="B802" s="7" t="s">
        <v>548</v>
      </c>
      <c r="C802" s="14" t="s">
        <v>125</v>
      </c>
      <c r="D802" s="14" t="s">
        <v>36</v>
      </c>
      <c r="E802" s="14" t="s">
        <v>61</v>
      </c>
      <c r="F802" s="14" t="s">
        <v>51</v>
      </c>
      <c r="G802" s="14" t="s">
        <v>66</v>
      </c>
      <c r="H802" s="14">
        <v>15</v>
      </c>
      <c r="I802" s="2">
        <v>490</v>
      </c>
      <c r="J802" s="3">
        <v>10</v>
      </c>
      <c r="K802" s="2">
        <v>6615</v>
      </c>
      <c r="L802" s="2">
        <v>3638</v>
      </c>
      <c r="M802" s="2">
        <v>2977</v>
      </c>
      <c r="N802" s="14" t="s">
        <v>44</v>
      </c>
      <c r="O802" s="14">
        <v>3</v>
      </c>
      <c r="V802" s="2"/>
    </row>
    <row r="803" spans="1:22">
      <c r="A803">
        <v>10854</v>
      </c>
      <c r="B803" s="7" t="s">
        <v>284</v>
      </c>
      <c r="C803" s="14" t="s">
        <v>141</v>
      </c>
      <c r="D803" s="14" t="s">
        <v>45</v>
      </c>
      <c r="E803" s="14" t="s">
        <v>61</v>
      </c>
      <c r="F803" s="14" t="s">
        <v>143</v>
      </c>
      <c r="G803" s="14" t="s">
        <v>64</v>
      </c>
      <c r="H803" s="14">
        <v>12</v>
      </c>
      <c r="I803" s="2">
        <v>1490</v>
      </c>
      <c r="J803" s="3">
        <v>15</v>
      </c>
      <c r="K803" s="2">
        <v>15198</v>
      </c>
      <c r="L803" s="2">
        <v>11550</v>
      </c>
      <c r="M803" s="2">
        <v>3648</v>
      </c>
      <c r="N803" s="14" t="s">
        <v>44</v>
      </c>
      <c r="O803" s="14">
        <v>5</v>
      </c>
      <c r="V803" s="2"/>
    </row>
    <row r="804" spans="1:22">
      <c r="A804">
        <v>10855</v>
      </c>
      <c r="B804" s="7" t="s">
        <v>276</v>
      </c>
      <c r="C804" s="14" t="s">
        <v>116</v>
      </c>
      <c r="D804" s="14" t="s">
        <v>45</v>
      </c>
      <c r="E804" s="14" t="s">
        <v>58</v>
      </c>
      <c r="F804" s="14" t="s">
        <v>55</v>
      </c>
      <c r="G804" s="14" t="s">
        <v>63</v>
      </c>
      <c r="H804" s="14">
        <v>13</v>
      </c>
      <c r="I804" s="2">
        <v>1810</v>
      </c>
      <c r="J804" s="3">
        <v>5</v>
      </c>
      <c r="K804" s="2">
        <v>22353.5</v>
      </c>
      <c r="L804" s="2">
        <v>15647</v>
      </c>
      <c r="M804" s="2">
        <v>6706.5</v>
      </c>
      <c r="N804" s="14" t="s">
        <v>47</v>
      </c>
      <c r="O804" s="14">
        <v>3</v>
      </c>
      <c r="V804" s="2"/>
    </row>
    <row r="805" spans="1:22">
      <c r="A805">
        <v>10856</v>
      </c>
      <c r="B805" s="7" t="s">
        <v>453</v>
      </c>
      <c r="C805" s="14" t="s">
        <v>128</v>
      </c>
      <c r="D805" s="14" t="s">
        <v>36</v>
      </c>
      <c r="E805" s="14" t="s">
        <v>61</v>
      </c>
      <c r="F805" s="14" t="s">
        <v>117</v>
      </c>
      <c r="G805" s="14" t="s">
        <v>72</v>
      </c>
      <c r="H805" s="14">
        <v>5</v>
      </c>
      <c r="I805" s="2">
        <v>840</v>
      </c>
      <c r="J805" s="3">
        <v>10</v>
      </c>
      <c r="K805" s="2">
        <v>3780</v>
      </c>
      <c r="L805" s="2">
        <v>3061</v>
      </c>
      <c r="M805" s="2">
        <v>719</v>
      </c>
      <c r="N805" s="14" t="s">
        <v>47</v>
      </c>
      <c r="O805" s="14">
        <v>5</v>
      </c>
      <c r="V805" s="2"/>
    </row>
    <row r="806" spans="1:22">
      <c r="A806">
        <v>10857</v>
      </c>
      <c r="B806" s="7" t="s">
        <v>248</v>
      </c>
      <c r="C806" s="14" t="s">
        <v>111</v>
      </c>
      <c r="D806" s="14" t="s">
        <v>36</v>
      </c>
      <c r="E806" s="14" t="s">
        <v>58</v>
      </c>
      <c r="F806" s="14" t="s">
        <v>43</v>
      </c>
      <c r="G806" s="14" t="s">
        <v>66</v>
      </c>
      <c r="H806" s="14">
        <v>15</v>
      </c>
      <c r="I806" s="2">
        <v>1330</v>
      </c>
      <c r="J806" s="3">
        <v>10</v>
      </c>
      <c r="K806" s="2">
        <v>17955</v>
      </c>
      <c r="L806" s="2">
        <v>11311</v>
      </c>
      <c r="M806" s="2">
        <v>6644</v>
      </c>
      <c r="N806" s="14" t="s">
        <v>38</v>
      </c>
      <c r="O806" s="14">
        <v>2</v>
      </c>
      <c r="V806" s="2"/>
    </row>
    <row r="807" spans="1:22">
      <c r="A807">
        <v>10858</v>
      </c>
      <c r="B807" s="7" t="s">
        <v>483</v>
      </c>
      <c r="C807" s="14" t="s">
        <v>116</v>
      </c>
      <c r="D807" s="14" t="s">
        <v>45</v>
      </c>
      <c r="E807" s="14" t="s">
        <v>58</v>
      </c>
      <c r="F807" s="14" t="s">
        <v>40</v>
      </c>
      <c r="G807" s="14" t="s">
        <v>66</v>
      </c>
      <c r="H807" s="14">
        <v>7</v>
      </c>
      <c r="I807" s="2">
        <v>340</v>
      </c>
      <c r="J807" s="3">
        <v>15</v>
      </c>
      <c r="K807" s="2">
        <v>2023</v>
      </c>
      <c r="L807" s="2">
        <v>1719</v>
      </c>
      <c r="M807" s="2">
        <v>304</v>
      </c>
      <c r="N807" s="14" t="s">
        <v>38</v>
      </c>
      <c r="O807" s="14">
        <v>3</v>
      </c>
      <c r="V807" s="2"/>
    </row>
    <row r="808" spans="1:22">
      <c r="A808">
        <v>10859</v>
      </c>
      <c r="B808" s="7" t="s">
        <v>528</v>
      </c>
      <c r="C808" s="14" t="s">
        <v>147</v>
      </c>
      <c r="D808" s="14" t="s">
        <v>39</v>
      </c>
      <c r="E808" s="14" t="s">
        <v>56</v>
      </c>
      <c r="F808" s="14" t="s">
        <v>57</v>
      </c>
      <c r="G808" s="14" t="s">
        <v>68</v>
      </c>
      <c r="H808" s="14">
        <v>14</v>
      </c>
      <c r="I808" s="2">
        <v>1920</v>
      </c>
      <c r="J808" s="3">
        <v>0</v>
      </c>
      <c r="K808" s="2">
        <v>26880</v>
      </c>
      <c r="L808" s="2">
        <v>18547</v>
      </c>
      <c r="M808" s="2">
        <v>8333</v>
      </c>
      <c r="N808" s="14" t="s">
        <v>47</v>
      </c>
      <c r="O808" s="14">
        <v>5</v>
      </c>
      <c r="V808" s="2"/>
    </row>
    <row r="809" spans="1:22">
      <c r="A809">
        <v>10860</v>
      </c>
      <c r="B809" s="7" t="s">
        <v>497</v>
      </c>
      <c r="C809" s="14" t="s">
        <v>147</v>
      </c>
      <c r="D809" s="14" t="s">
        <v>45</v>
      </c>
      <c r="E809" s="14" t="s">
        <v>61</v>
      </c>
      <c r="F809" s="14" t="s">
        <v>46</v>
      </c>
      <c r="G809" s="14" t="s">
        <v>64</v>
      </c>
      <c r="H809" s="14">
        <v>12</v>
      </c>
      <c r="I809" s="2">
        <v>550</v>
      </c>
      <c r="J809" s="3">
        <v>10</v>
      </c>
      <c r="K809" s="2">
        <v>5940</v>
      </c>
      <c r="L809" s="2">
        <v>4692</v>
      </c>
      <c r="M809" s="2">
        <v>1248</v>
      </c>
      <c r="N809" s="14" t="s">
        <v>38</v>
      </c>
      <c r="O809" s="14">
        <v>3</v>
      </c>
      <c r="V809" s="2"/>
    </row>
    <row r="810" spans="1:22">
      <c r="A810">
        <v>10861</v>
      </c>
      <c r="B810" s="7" t="s">
        <v>451</v>
      </c>
      <c r="C810" s="14" t="s">
        <v>130</v>
      </c>
      <c r="D810" s="14" t="s">
        <v>42</v>
      </c>
      <c r="E810" s="14" t="s">
        <v>61</v>
      </c>
      <c r="F810" s="14" t="s">
        <v>51</v>
      </c>
      <c r="G810" s="14" t="s">
        <v>66</v>
      </c>
      <c r="H810" s="14">
        <v>9</v>
      </c>
      <c r="I810" s="2">
        <v>720</v>
      </c>
      <c r="J810" s="3">
        <v>10</v>
      </c>
      <c r="K810" s="2">
        <v>5832</v>
      </c>
      <c r="L810" s="2">
        <v>3965</v>
      </c>
      <c r="M810" s="2">
        <v>1867</v>
      </c>
      <c r="N810" s="14" t="s">
        <v>47</v>
      </c>
      <c r="O810" s="14">
        <v>1</v>
      </c>
      <c r="V810" s="2"/>
    </row>
    <row r="811" spans="1:22">
      <c r="A811">
        <v>10862</v>
      </c>
      <c r="B811" s="7" t="s">
        <v>371</v>
      </c>
      <c r="C811" s="14" t="s">
        <v>130</v>
      </c>
      <c r="D811" s="14" t="s">
        <v>45</v>
      </c>
      <c r="E811" s="14" t="s">
        <v>61</v>
      </c>
      <c r="F811" s="14" t="s">
        <v>46</v>
      </c>
      <c r="G811" s="14" t="s">
        <v>64</v>
      </c>
      <c r="H811" s="14">
        <v>7</v>
      </c>
      <c r="I811" s="2">
        <v>480</v>
      </c>
      <c r="J811" s="3">
        <v>15</v>
      </c>
      <c r="K811" s="2">
        <v>2856</v>
      </c>
      <c r="L811" s="2">
        <v>2227</v>
      </c>
      <c r="M811" s="2">
        <v>629</v>
      </c>
      <c r="N811" s="14" t="s">
        <v>41</v>
      </c>
      <c r="O811" s="14">
        <v>2</v>
      </c>
      <c r="V811" s="2"/>
    </row>
    <row r="812" spans="1:22">
      <c r="A812">
        <v>10863</v>
      </c>
      <c r="B812" s="7" t="s">
        <v>517</v>
      </c>
      <c r="C812" s="14" t="s">
        <v>130</v>
      </c>
      <c r="D812" s="14" t="s">
        <v>45</v>
      </c>
      <c r="E812" s="14" t="s">
        <v>56</v>
      </c>
      <c r="F812" s="14" t="s">
        <v>57</v>
      </c>
      <c r="G812" s="14" t="s">
        <v>64</v>
      </c>
      <c r="H812" s="14">
        <v>1</v>
      </c>
      <c r="I812" s="2">
        <v>450</v>
      </c>
      <c r="J812" s="3">
        <v>0</v>
      </c>
      <c r="K812" s="2">
        <v>450</v>
      </c>
      <c r="L812" s="2">
        <v>324</v>
      </c>
      <c r="M812" s="2">
        <v>126</v>
      </c>
      <c r="N812" s="14" t="s">
        <v>38</v>
      </c>
      <c r="O812" s="14">
        <v>3</v>
      </c>
      <c r="V812" s="2"/>
    </row>
    <row r="813" spans="1:22">
      <c r="A813">
        <v>10864</v>
      </c>
      <c r="B813" s="7" t="s">
        <v>471</v>
      </c>
      <c r="C813" s="14" t="s">
        <v>137</v>
      </c>
      <c r="D813" s="14" t="s">
        <v>36</v>
      </c>
      <c r="E813" s="14" t="s">
        <v>61</v>
      </c>
      <c r="F813" s="14" t="s">
        <v>52</v>
      </c>
      <c r="G813" s="14" t="s">
        <v>66</v>
      </c>
      <c r="H813" s="14">
        <v>5</v>
      </c>
      <c r="I813" s="2">
        <v>370</v>
      </c>
      <c r="J813" s="3">
        <v>0</v>
      </c>
      <c r="K813" s="2">
        <v>1850</v>
      </c>
      <c r="L813" s="2">
        <v>1461</v>
      </c>
      <c r="M813" s="2">
        <v>389</v>
      </c>
      <c r="N813" s="14" t="s">
        <v>38</v>
      </c>
      <c r="O813" s="14">
        <v>2</v>
      </c>
      <c r="V813" s="2"/>
    </row>
    <row r="814" spans="1:22">
      <c r="A814">
        <v>10865</v>
      </c>
      <c r="B814" s="7" t="s">
        <v>549</v>
      </c>
      <c r="C814" s="14" t="s">
        <v>135</v>
      </c>
      <c r="D814" s="14" t="s">
        <v>45</v>
      </c>
      <c r="E814" s="14" t="s">
        <v>56</v>
      </c>
      <c r="F814" s="14" t="s">
        <v>50</v>
      </c>
      <c r="G814" s="14" t="s">
        <v>72</v>
      </c>
      <c r="H814" s="14">
        <v>2</v>
      </c>
      <c r="I814" s="2">
        <v>1880</v>
      </c>
      <c r="J814" s="3">
        <v>20</v>
      </c>
      <c r="K814" s="2">
        <v>3008</v>
      </c>
      <c r="L814" s="2">
        <v>1804</v>
      </c>
      <c r="M814" s="2">
        <v>1204</v>
      </c>
      <c r="N814" s="14" t="s">
        <v>38</v>
      </c>
      <c r="O814" s="14">
        <v>3</v>
      </c>
      <c r="V814" s="2"/>
    </row>
    <row r="815" spans="1:22">
      <c r="A815">
        <v>10866</v>
      </c>
      <c r="B815" s="7" t="s">
        <v>152</v>
      </c>
      <c r="C815" s="14" t="s">
        <v>111</v>
      </c>
      <c r="D815" s="14" t="s">
        <v>39</v>
      </c>
      <c r="E815" s="14" t="s">
        <v>56</v>
      </c>
      <c r="F815" s="14" t="s">
        <v>50</v>
      </c>
      <c r="G815" s="14" t="s">
        <v>70</v>
      </c>
      <c r="H815" s="14">
        <v>5</v>
      </c>
      <c r="I815" s="2">
        <v>730</v>
      </c>
      <c r="J815" s="3">
        <v>0</v>
      </c>
      <c r="K815" s="2">
        <v>3650</v>
      </c>
      <c r="L815" s="2">
        <v>2664</v>
      </c>
      <c r="M815" s="2">
        <v>986</v>
      </c>
      <c r="N815" s="14" t="s">
        <v>47</v>
      </c>
      <c r="O815" s="14">
        <v>2</v>
      </c>
      <c r="V815" s="2"/>
    </row>
    <row r="816" spans="1:22">
      <c r="A816">
        <v>10867</v>
      </c>
      <c r="B816" s="7" t="s">
        <v>151</v>
      </c>
      <c r="C816" s="14" t="s">
        <v>116</v>
      </c>
      <c r="D816" s="14" t="s">
        <v>39</v>
      </c>
      <c r="E816" s="14" t="s">
        <v>56</v>
      </c>
      <c r="F816" s="14" t="s">
        <v>57</v>
      </c>
      <c r="G816" s="14" t="s">
        <v>68</v>
      </c>
      <c r="H816" s="14">
        <v>3</v>
      </c>
      <c r="I816" s="2">
        <v>1100</v>
      </c>
      <c r="J816" s="3">
        <v>5</v>
      </c>
      <c r="K816" s="2">
        <v>3135</v>
      </c>
      <c r="L816" s="2">
        <v>2445</v>
      </c>
      <c r="M816" s="2">
        <v>690</v>
      </c>
      <c r="N816" s="14" t="s">
        <v>41</v>
      </c>
      <c r="O816" s="14">
        <v>4</v>
      </c>
      <c r="V816" s="2"/>
    </row>
    <row r="817" spans="1:22">
      <c r="A817">
        <v>10868</v>
      </c>
      <c r="B817" s="7" t="s">
        <v>284</v>
      </c>
      <c r="C817" s="14" t="s">
        <v>135</v>
      </c>
      <c r="D817" s="14" t="s">
        <v>45</v>
      </c>
      <c r="E817" s="14" t="s">
        <v>58</v>
      </c>
      <c r="F817" s="14" t="s">
        <v>55</v>
      </c>
      <c r="G817" s="14" t="s">
        <v>66</v>
      </c>
      <c r="H817" s="14">
        <v>15</v>
      </c>
      <c r="I817" s="2">
        <v>1290</v>
      </c>
      <c r="J817" s="3">
        <v>5</v>
      </c>
      <c r="K817" s="2">
        <v>18382.5</v>
      </c>
      <c r="L817" s="2">
        <v>12500</v>
      </c>
      <c r="M817" s="2">
        <v>5882.5</v>
      </c>
      <c r="N817" s="14" t="s">
        <v>47</v>
      </c>
      <c r="O817" s="14">
        <v>3</v>
      </c>
      <c r="V817" s="2"/>
    </row>
    <row r="818" spans="1:22">
      <c r="A818">
        <v>10870</v>
      </c>
      <c r="B818" s="7" t="s">
        <v>138</v>
      </c>
      <c r="C818" s="14" t="s">
        <v>120</v>
      </c>
      <c r="D818" s="14" t="s">
        <v>42</v>
      </c>
      <c r="E818" s="14" t="s">
        <v>61</v>
      </c>
      <c r="F818" s="14" t="s">
        <v>143</v>
      </c>
      <c r="G818" s="14" t="s">
        <v>72</v>
      </c>
      <c r="H818" s="14">
        <v>12</v>
      </c>
      <c r="I818" s="2">
        <v>1970</v>
      </c>
      <c r="J818" s="3">
        <v>10</v>
      </c>
      <c r="K818" s="2">
        <v>21276</v>
      </c>
      <c r="L818" s="2">
        <v>14042</v>
      </c>
      <c r="M818" s="2">
        <v>7234</v>
      </c>
      <c r="N818" s="14" t="s">
        <v>41</v>
      </c>
      <c r="O818" s="14">
        <v>4</v>
      </c>
      <c r="V818" s="2"/>
    </row>
    <row r="819" spans="1:22">
      <c r="A819">
        <v>10871</v>
      </c>
      <c r="B819" s="7" t="s">
        <v>550</v>
      </c>
      <c r="C819" s="14" t="s">
        <v>116</v>
      </c>
      <c r="D819" s="14" t="s">
        <v>45</v>
      </c>
      <c r="E819" s="14" t="s">
        <v>56</v>
      </c>
      <c r="F819" s="14" t="s">
        <v>131</v>
      </c>
      <c r="G819" s="14" t="s">
        <v>74</v>
      </c>
      <c r="H819" s="14">
        <v>8</v>
      </c>
      <c r="I819" s="2">
        <v>1080</v>
      </c>
      <c r="J819" s="3">
        <v>20</v>
      </c>
      <c r="K819" s="2">
        <v>6912</v>
      </c>
      <c r="L819" s="2">
        <v>5391</v>
      </c>
      <c r="M819" s="2">
        <v>1521</v>
      </c>
      <c r="N819" s="14" t="s">
        <v>41</v>
      </c>
      <c r="O819" s="14">
        <v>3</v>
      </c>
      <c r="V819" s="2"/>
    </row>
    <row r="820" spans="1:22">
      <c r="A820">
        <v>10872</v>
      </c>
      <c r="B820" s="7" t="s">
        <v>370</v>
      </c>
      <c r="C820" s="14" t="s">
        <v>137</v>
      </c>
      <c r="D820" s="14" t="s">
        <v>45</v>
      </c>
      <c r="E820" s="14" t="s">
        <v>58</v>
      </c>
      <c r="F820" s="14" t="s">
        <v>55</v>
      </c>
      <c r="G820" s="14" t="s">
        <v>72</v>
      </c>
      <c r="H820" s="14">
        <v>5</v>
      </c>
      <c r="I820" s="2">
        <v>370</v>
      </c>
      <c r="J820" s="3">
        <v>20</v>
      </c>
      <c r="K820" s="2">
        <v>1480</v>
      </c>
      <c r="L820" s="2">
        <v>1065</v>
      </c>
      <c r="M820" s="2">
        <v>415</v>
      </c>
      <c r="N820" s="14" t="s">
        <v>38</v>
      </c>
      <c r="O820" s="14">
        <v>5</v>
      </c>
      <c r="V820" s="2"/>
    </row>
    <row r="821" spans="1:22">
      <c r="A821">
        <v>10873</v>
      </c>
      <c r="B821" s="7" t="s">
        <v>177</v>
      </c>
      <c r="C821" s="14" t="s">
        <v>130</v>
      </c>
      <c r="D821" s="14" t="s">
        <v>42</v>
      </c>
      <c r="E821" s="14" t="s">
        <v>56</v>
      </c>
      <c r="F821" s="14" t="s">
        <v>50</v>
      </c>
      <c r="G821" s="14" t="s">
        <v>70</v>
      </c>
      <c r="H821" s="14">
        <v>15</v>
      </c>
      <c r="I821" s="2">
        <v>1080</v>
      </c>
      <c r="J821" s="3">
        <v>10</v>
      </c>
      <c r="K821" s="2">
        <v>14580</v>
      </c>
      <c r="L821" s="2">
        <v>8019</v>
      </c>
      <c r="M821" s="2">
        <v>6561</v>
      </c>
      <c r="N821" s="14" t="s">
        <v>47</v>
      </c>
      <c r="O821" s="14">
        <v>1</v>
      </c>
      <c r="V821" s="2"/>
    </row>
    <row r="822" spans="1:22">
      <c r="A822">
        <v>10874</v>
      </c>
      <c r="B822" s="7" t="s">
        <v>483</v>
      </c>
      <c r="C822" s="14" t="s">
        <v>116</v>
      </c>
      <c r="D822" s="14" t="s">
        <v>45</v>
      </c>
      <c r="E822" s="14" t="s">
        <v>58</v>
      </c>
      <c r="F822" s="14" t="s">
        <v>40</v>
      </c>
      <c r="G822" s="14" t="s">
        <v>74</v>
      </c>
      <c r="H822" s="14">
        <v>6</v>
      </c>
      <c r="I822" s="2">
        <v>510</v>
      </c>
      <c r="J822" s="3">
        <v>20</v>
      </c>
      <c r="K822" s="2">
        <v>2448</v>
      </c>
      <c r="L822" s="2">
        <v>1444</v>
      </c>
      <c r="M822" s="2">
        <v>1004</v>
      </c>
      <c r="N822" s="14" t="s">
        <v>47</v>
      </c>
      <c r="O822" s="14">
        <v>4</v>
      </c>
      <c r="V822" s="2"/>
    </row>
    <row r="823" spans="1:22">
      <c r="A823">
        <v>10875</v>
      </c>
      <c r="B823" s="7" t="s">
        <v>259</v>
      </c>
      <c r="C823" s="14" t="s">
        <v>125</v>
      </c>
      <c r="D823" s="14" t="s">
        <v>42</v>
      </c>
      <c r="E823" s="14" t="s">
        <v>61</v>
      </c>
      <c r="F823" s="14" t="s">
        <v>51</v>
      </c>
      <c r="G823" s="14" t="s">
        <v>64</v>
      </c>
      <c r="H823" s="14">
        <v>12</v>
      </c>
      <c r="I823" s="2">
        <v>1080</v>
      </c>
      <c r="J823" s="3">
        <v>20</v>
      </c>
      <c r="K823" s="2">
        <v>10368</v>
      </c>
      <c r="L823" s="2">
        <v>6220</v>
      </c>
      <c r="M823" s="2">
        <v>4148</v>
      </c>
      <c r="N823" s="14" t="s">
        <v>44</v>
      </c>
      <c r="O823" s="14">
        <v>2</v>
      </c>
      <c r="V823" s="2"/>
    </row>
    <row r="824" spans="1:22">
      <c r="A824">
        <v>10876</v>
      </c>
      <c r="B824" s="7" t="s">
        <v>423</v>
      </c>
      <c r="C824" s="14" t="s">
        <v>111</v>
      </c>
      <c r="D824" s="14" t="s">
        <v>42</v>
      </c>
      <c r="E824" s="14" t="s">
        <v>61</v>
      </c>
      <c r="F824" s="14" t="s">
        <v>51</v>
      </c>
      <c r="G824" s="14" t="s">
        <v>68</v>
      </c>
      <c r="H824" s="14">
        <v>12</v>
      </c>
      <c r="I824" s="2">
        <v>250</v>
      </c>
      <c r="J824" s="3">
        <v>0</v>
      </c>
      <c r="K824" s="2">
        <v>3000</v>
      </c>
      <c r="L824" s="2">
        <v>2070</v>
      </c>
      <c r="M824" s="2">
        <v>930</v>
      </c>
      <c r="N824" s="14" t="s">
        <v>47</v>
      </c>
      <c r="O824" s="14">
        <v>2</v>
      </c>
      <c r="V824" s="2"/>
    </row>
    <row r="825" spans="1:22">
      <c r="A825">
        <v>10877</v>
      </c>
      <c r="B825" s="7" t="s">
        <v>551</v>
      </c>
      <c r="C825" s="14" t="s">
        <v>147</v>
      </c>
      <c r="D825" s="14" t="s">
        <v>42</v>
      </c>
      <c r="E825" s="14" t="s">
        <v>56</v>
      </c>
      <c r="F825" s="14" t="s">
        <v>131</v>
      </c>
      <c r="G825" s="14" t="s">
        <v>70</v>
      </c>
      <c r="H825" s="14">
        <v>13</v>
      </c>
      <c r="I825" s="2">
        <v>1360</v>
      </c>
      <c r="J825" s="3">
        <v>5</v>
      </c>
      <c r="K825" s="2">
        <v>16796</v>
      </c>
      <c r="L825" s="2">
        <v>9237</v>
      </c>
      <c r="M825" s="2">
        <v>7559</v>
      </c>
      <c r="N825" s="14" t="s">
        <v>47</v>
      </c>
      <c r="O825" s="14">
        <v>1</v>
      </c>
      <c r="V825" s="2"/>
    </row>
    <row r="826" spans="1:22">
      <c r="A826">
        <v>10878</v>
      </c>
      <c r="B826" s="7" t="s">
        <v>335</v>
      </c>
      <c r="C826" s="14" t="s">
        <v>141</v>
      </c>
      <c r="D826" s="14" t="s">
        <v>45</v>
      </c>
      <c r="E826" s="14" t="s">
        <v>61</v>
      </c>
      <c r="F826" s="14" t="s">
        <v>51</v>
      </c>
      <c r="G826" s="14" t="s">
        <v>74</v>
      </c>
      <c r="H826" s="14">
        <v>15</v>
      </c>
      <c r="I826" s="2">
        <v>1960</v>
      </c>
      <c r="J826" s="3">
        <v>10</v>
      </c>
      <c r="K826" s="2">
        <v>26460</v>
      </c>
      <c r="L826" s="2">
        <v>20109</v>
      </c>
      <c r="M826" s="2">
        <v>6351</v>
      </c>
      <c r="N826" s="14" t="s">
        <v>41</v>
      </c>
      <c r="O826" s="14">
        <v>5</v>
      </c>
      <c r="V826" s="2"/>
    </row>
    <row r="827" spans="1:22">
      <c r="A827">
        <v>10879</v>
      </c>
      <c r="B827" s="7" t="s">
        <v>169</v>
      </c>
      <c r="C827" s="14" t="s">
        <v>130</v>
      </c>
      <c r="D827" s="14" t="s">
        <v>42</v>
      </c>
      <c r="E827" s="14" t="s">
        <v>58</v>
      </c>
      <c r="F827" s="14" t="s">
        <v>43</v>
      </c>
      <c r="G827" s="14" t="s">
        <v>68</v>
      </c>
      <c r="H827" s="14">
        <v>14</v>
      </c>
      <c r="I827" s="2">
        <v>860</v>
      </c>
      <c r="J827" s="3">
        <v>15</v>
      </c>
      <c r="K827" s="2">
        <v>10234</v>
      </c>
      <c r="L827" s="2">
        <v>8289</v>
      </c>
      <c r="M827" s="2">
        <v>1945</v>
      </c>
      <c r="N827" s="14" t="s">
        <v>38</v>
      </c>
      <c r="O827" s="14">
        <v>1</v>
      </c>
      <c r="V827" s="2"/>
    </row>
    <row r="828" spans="1:22">
      <c r="A828">
        <v>10880</v>
      </c>
      <c r="B828" s="7" t="s">
        <v>387</v>
      </c>
      <c r="C828" s="14" t="s">
        <v>141</v>
      </c>
      <c r="D828" s="14" t="s">
        <v>39</v>
      </c>
      <c r="E828" s="14" t="s">
        <v>61</v>
      </c>
      <c r="F828" s="14" t="s">
        <v>46</v>
      </c>
      <c r="G828" s="14" t="s">
        <v>63</v>
      </c>
      <c r="H828" s="14">
        <v>8</v>
      </c>
      <c r="I828" s="2">
        <v>950</v>
      </c>
      <c r="J828" s="3">
        <v>10</v>
      </c>
      <c r="K828" s="2">
        <v>6840</v>
      </c>
      <c r="L828" s="2">
        <v>5403</v>
      </c>
      <c r="M828" s="2">
        <v>1437</v>
      </c>
      <c r="N828" s="14" t="s">
        <v>44</v>
      </c>
      <c r="O828" s="14">
        <v>4</v>
      </c>
      <c r="V828" s="2"/>
    </row>
    <row r="829" spans="1:22">
      <c r="A829">
        <v>10881</v>
      </c>
      <c r="B829" s="7" t="s">
        <v>337</v>
      </c>
      <c r="C829" s="14" t="s">
        <v>130</v>
      </c>
      <c r="D829" s="14" t="s">
        <v>36</v>
      </c>
      <c r="E829" s="14" t="s">
        <v>61</v>
      </c>
      <c r="F829" s="14" t="s">
        <v>51</v>
      </c>
      <c r="G829" s="14" t="s">
        <v>63</v>
      </c>
      <c r="H829" s="14">
        <v>11</v>
      </c>
      <c r="I829" s="2">
        <v>1730</v>
      </c>
      <c r="J829" s="3">
        <v>15</v>
      </c>
      <c r="K829" s="2">
        <v>16175.5</v>
      </c>
      <c r="L829" s="2">
        <v>10675</v>
      </c>
      <c r="M829" s="2">
        <v>5500.5</v>
      </c>
      <c r="N829" s="14" t="s">
        <v>44</v>
      </c>
      <c r="O829" s="14">
        <v>5</v>
      </c>
      <c r="V829" s="2"/>
    </row>
    <row r="830" spans="1:22">
      <c r="A830">
        <v>10882</v>
      </c>
      <c r="B830" s="7" t="s">
        <v>547</v>
      </c>
      <c r="C830" s="14" t="s">
        <v>125</v>
      </c>
      <c r="D830" s="14" t="s">
        <v>39</v>
      </c>
      <c r="E830" s="14" t="s">
        <v>61</v>
      </c>
      <c r="F830" s="14" t="s">
        <v>143</v>
      </c>
      <c r="G830" s="14" t="s">
        <v>74</v>
      </c>
      <c r="H830" s="14">
        <v>15</v>
      </c>
      <c r="I830" s="2">
        <v>680</v>
      </c>
      <c r="J830" s="3">
        <v>5</v>
      </c>
      <c r="K830" s="2">
        <v>9690</v>
      </c>
      <c r="L830" s="2">
        <v>7945</v>
      </c>
      <c r="M830" s="2">
        <v>1745</v>
      </c>
      <c r="N830" s="14" t="s">
        <v>38</v>
      </c>
      <c r="O830" s="14">
        <v>4</v>
      </c>
      <c r="V830" s="2"/>
    </row>
    <row r="831" spans="1:22">
      <c r="A831">
        <v>10884</v>
      </c>
      <c r="B831" s="7" t="s">
        <v>249</v>
      </c>
      <c r="C831" s="14" t="s">
        <v>128</v>
      </c>
      <c r="D831" s="14" t="s">
        <v>39</v>
      </c>
      <c r="E831" s="14" t="s">
        <v>58</v>
      </c>
      <c r="F831" s="14" t="s">
        <v>43</v>
      </c>
      <c r="G831" s="14" t="s">
        <v>68</v>
      </c>
      <c r="H831" s="14">
        <v>1</v>
      </c>
      <c r="I831" s="2">
        <v>1250</v>
      </c>
      <c r="J831" s="3">
        <v>0</v>
      </c>
      <c r="K831" s="2">
        <v>1250</v>
      </c>
      <c r="L831" s="2">
        <v>875</v>
      </c>
      <c r="M831" s="2">
        <v>375</v>
      </c>
      <c r="N831" s="14" t="s">
        <v>38</v>
      </c>
      <c r="O831" s="14">
        <v>4</v>
      </c>
      <c r="V831" s="2"/>
    </row>
    <row r="832" spans="1:22">
      <c r="A832">
        <v>10885</v>
      </c>
      <c r="B832" s="7" t="s">
        <v>165</v>
      </c>
      <c r="C832" s="14" t="s">
        <v>111</v>
      </c>
      <c r="D832" s="14" t="s">
        <v>36</v>
      </c>
      <c r="E832" s="14" t="s">
        <v>61</v>
      </c>
      <c r="F832" s="14" t="s">
        <v>51</v>
      </c>
      <c r="G832" s="14" t="s">
        <v>74</v>
      </c>
      <c r="H832" s="14">
        <v>2</v>
      </c>
      <c r="I832" s="2">
        <v>1180</v>
      </c>
      <c r="J832" s="3">
        <v>10</v>
      </c>
      <c r="K832" s="2">
        <v>2124</v>
      </c>
      <c r="L832" s="2">
        <v>1210</v>
      </c>
      <c r="M832" s="2">
        <v>914</v>
      </c>
      <c r="N832" s="14" t="s">
        <v>38</v>
      </c>
      <c r="O832" s="14">
        <v>3</v>
      </c>
      <c r="V832" s="2"/>
    </row>
    <row r="833" spans="1:22">
      <c r="A833">
        <v>10886</v>
      </c>
      <c r="B833" s="7" t="s">
        <v>308</v>
      </c>
      <c r="C833" s="14" t="s">
        <v>128</v>
      </c>
      <c r="D833" s="14" t="s">
        <v>39</v>
      </c>
      <c r="E833" s="14" t="s">
        <v>56</v>
      </c>
      <c r="F833" s="14" t="s">
        <v>57</v>
      </c>
      <c r="G833" s="14" t="s">
        <v>68</v>
      </c>
      <c r="H833" s="14">
        <v>15</v>
      </c>
      <c r="I833" s="2">
        <v>440</v>
      </c>
      <c r="J833" s="3">
        <v>10</v>
      </c>
      <c r="K833" s="2">
        <v>5940</v>
      </c>
      <c r="L833" s="2">
        <v>5049</v>
      </c>
      <c r="M833" s="2">
        <v>891</v>
      </c>
      <c r="N833" s="14" t="s">
        <v>38</v>
      </c>
      <c r="O833" s="14">
        <v>4</v>
      </c>
      <c r="V833" s="2"/>
    </row>
    <row r="834" spans="1:22">
      <c r="A834">
        <v>10888</v>
      </c>
      <c r="B834" s="7" t="s">
        <v>485</v>
      </c>
      <c r="C834" s="14" t="s">
        <v>125</v>
      </c>
      <c r="D834" s="14" t="s">
        <v>42</v>
      </c>
      <c r="E834" s="14" t="s">
        <v>58</v>
      </c>
      <c r="F834" s="14" t="s">
        <v>43</v>
      </c>
      <c r="G834" s="14" t="s">
        <v>70</v>
      </c>
      <c r="H834" s="14">
        <v>12</v>
      </c>
      <c r="I834" s="2">
        <v>820</v>
      </c>
      <c r="J834" s="3">
        <v>0</v>
      </c>
      <c r="K834" s="2">
        <v>9840</v>
      </c>
      <c r="L834" s="2">
        <v>6691</v>
      </c>
      <c r="M834" s="2">
        <v>3149</v>
      </c>
      <c r="N834" s="14" t="s">
        <v>38</v>
      </c>
      <c r="O834" s="14">
        <v>4</v>
      </c>
      <c r="V834" s="2"/>
    </row>
    <row r="835" spans="1:22">
      <c r="A835">
        <v>10889</v>
      </c>
      <c r="B835" s="7" t="s">
        <v>333</v>
      </c>
      <c r="C835" s="14" t="s">
        <v>111</v>
      </c>
      <c r="D835" s="14" t="s">
        <v>45</v>
      </c>
      <c r="E835" s="14" t="s">
        <v>58</v>
      </c>
      <c r="F835" s="14" t="s">
        <v>40</v>
      </c>
      <c r="G835" s="14" t="s">
        <v>66</v>
      </c>
      <c r="H835" s="14">
        <v>13</v>
      </c>
      <c r="I835" s="2">
        <v>450</v>
      </c>
      <c r="J835" s="3">
        <v>0</v>
      </c>
      <c r="K835" s="2">
        <v>5850</v>
      </c>
      <c r="L835" s="2">
        <v>4036</v>
      </c>
      <c r="M835" s="2">
        <v>1814</v>
      </c>
      <c r="N835" s="14" t="s">
        <v>44</v>
      </c>
      <c r="O835" s="14">
        <v>5</v>
      </c>
      <c r="V835" s="2"/>
    </row>
    <row r="836" spans="1:22">
      <c r="A836">
        <v>10890</v>
      </c>
      <c r="B836" s="7" t="s">
        <v>485</v>
      </c>
      <c r="C836" s="14" t="s">
        <v>135</v>
      </c>
      <c r="D836" s="14" t="s">
        <v>36</v>
      </c>
      <c r="E836" s="14" t="s">
        <v>61</v>
      </c>
      <c r="F836" s="14" t="s">
        <v>143</v>
      </c>
      <c r="G836" s="14" t="s">
        <v>64</v>
      </c>
      <c r="H836" s="14">
        <v>9</v>
      </c>
      <c r="I836" s="2">
        <v>980</v>
      </c>
      <c r="J836" s="3">
        <v>5</v>
      </c>
      <c r="K836" s="2">
        <v>8379</v>
      </c>
      <c r="L836" s="2">
        <v>4776</v>
      </c>
      <c r="M836" s="2">
        <v>3603</v>
      </c>
      <c r="N836" s="14" t="s">
        <v>44</v>
      </c>
      <c r="O836" s="14">
        <v>5</v>
      </c>
      <c r="V836" s="2"/>
    </row>
    <row r="837" spans="1:22">
      <c r="A837">
        <v>10891</v>
      </c>
      <c r="B837" s="7" t="s">
        <v>529</v>
      </c>
      <c r="C837" s="14" t="s">
        <v>111</v>
      </c>
      <c r="D837" s="14" t="s">
        <v>45</v>
      </c>
      <c r="E837" s="14" t="s">
        <v>61</v>
      </c>
      <c r="F837" s="14" t="s">
        <v>117</v>
      </c>
      <c r="G837" s="14" t="s">
        <v>68</v>
      </c>
      <c r="H837" s="14">
        <v>3</v>
      </c>
      <c r="I837" s="2">
        <v>1150</v>
      </c>
      <c r="J837" s="3">
        <v>10</v>
      </c>
      <c r="K837" s="2">
        <v>3105</v>
      </c>
      <c r="L837" s="2">
        <v>2608</v>
      </c>
      <c r="M837" s="2">
        <v>497</v>
      </c>
      <c r="N837" s="14" t="s">
        <v>38</v>
      </c>
      <c r="O837" s="14">
        <v>4</v>
      </c>
      <c r="V837" s="2"/>
    </row>
    <row r="838" spans="1:22">
      <c r="A838">
        <v>10892</v>
      </c>
      <c r="B838" s="7" t="s">
        <v>552</v>
      </c>
      <c r="C838" s="14" t="s">
        <v>116</v>
      </c>
      <c r="D838" s="14" t="s">
        <v>39</v>
      </c>
      <c r="E838" s="14" t="s">
        <v>61</v>
      </c>
      <c r="F838" s="14" t="s">
        <v>52</v>
      </c>
      <c r="G838" s="14" t="s">
        <v>74</v>
      </c>
      <c r="H838" s="14">
        <v>13</v>
      </c>
      <c r="I838" s="2">
        <v>670</v>
      </c>
      <c r="J838" s="3">
        <v>20</v>
      </c>
      <c r="K838" s="2">
        <v>6968</v>
      </c>
      <c r="L838" s="2">
        <v>4807</v>
      </c>
      <c r="M838" s="2">
        <v>2161</v>
      </c>
      <c r="N838" s="14" t="s">
        <v>47</v>
      </c>
      <c r="O838" s="14">
        <v>2</v>
      </c>
      <c r="V838" s="2"/>
    </row>
    <row r="839" spans="1:22">
      <c r="A839">
        <v>10893</v>
      </c>
      <c r="B839" s="7" t="s">
        <v>326</v>
      </c>
      <c r="C839" s="14" t="s">
        <v>116</v>
      </c>
      <c r="D839" s="14" t="s">
        <v>36</v>
      </c>
      <c r="E839" s="14" t="s">
        <v>61</v>
      </c>
      <c r="F839" s="14" t="s">
        <v>51</v>
      </c>
      <c r="G839" s="14" t="s">
        <v>70</v>
      </c>
      <c r="H839" s="14">
        <v>11</v>
      </c>
      <c r="I839" s="2">
        <v>1820</v>
      </c>
      <c r="J839" s="3">
        <v>15</v>
      </c>
      <c r="K839" s="2">
        <v>17017</v>
      </c>
      <c r="L839" s="2">
        <v>14464</v>
      </c>
      <c r="M839" s="2">
        <v>2553</v>
      </c>
      <c r="N839" s="14" t="s">
        <v>44</v>
      </c>
      <c r="O839" s="14">
        <v>3</v>
      </c>
      <c r="V839" s="2"/>
    </row>
    <row r="840" spans="1:22">
      <c r="A840">
        <v>10894</v>
      </c>
      <c r="B840" s="7" t="s">
        <v>553</v>
      </c>
      <c r="C840" s="14" t="s">
        <v>120</v>
      </c>
      <c r="D840" s="14" t="s">
        <v>39</v>
      </c>
      <c r="E840" s="14" t="s">
        <v>58</v>
      </c>
      <c r="F840" s="14" t="s">
        <v>37</v>
      </c>
      <c r="G840" s="14" t="s">
        <v>64</v>
      </c>
      <c r="H840" s="14">
        <v>7</v>
      </c>
      <c r="I840" s="2">
        <v>1900</v>
      </c>
      <c r="J840" s="3">
        <v>15</v>
      </c>
      <c r="K840" s="2">
        <v>11305</v>
      </c>
      <c r="L840" s="2">
        <v>8252</v>
      </c>
      <c r="M840" s="2">
        <v>3053</v>
      </c>
      <c r="N840" s="14" t="s">
        <v>38</v>
      </c>
      <c r="O840" s="14">
        <v>2</v>
      </c>
      <c r="V840" s="2"/>
    </row>
    <row r="841" spans="1:22">
      <c r="A841">
        <v>10895</v>
      </c>
      <c r="B841" s="7" t="s">
        <v>204</v>
      </c>
      <c r="C841" s="14" t="s">
        <v>116</v>
      </c>
      <c r="D841" s="14" t="s">
        <v>39</v>
      </c>
      <c r="E841" s="14" t="s">
        <v>56</v>
      </c>
      <c r="F841" s="14" t="s">
        <v>50</v>
      </c>
      <c r="G841" s="14" t="s">
        <v>72</v>
      </c>
      <c r="H841" s="14">
        <v>15</v>
      </c>
      <c r="I841" s="2">
        <v>910</v>
      </c>
      <c r="J841" s="3">
        <v>15</v>
      </c>
      <c r="K841" s="2">
        <v>11602.5</v>
      </c>
      <c r="L841" s="2">
        <v>6729</v>
      </c>
      <c r="M841" s="2">
        <v>4873.5</v>
      </c>
      <c r="N841" s="14" t="s">
        <v>41</v>
      </c>
      <c r="O841" s="14">
        <v>3</v>
      </c>
      <c r="V841" s="2"/>
    </row>
    <row r="842" spans="1:22">
      <c r="A842">
        <v>10896</v>
      </c>
      <c r="B842" s="7" t="s">
        <v>472</v>
      </c>
      <c r="C842" s="14" t="s">
        <v>137</v>
      </c>
      <c r="D842" s="14" t="s">
        <v>45</v>
      </c>
      <c r="E842" s="14" t="s">
        <v>61</v>
      </c>
      <c r="F842" s="14" t="s">
        <v>46</v>
      </c>
      <c r="G842" s="14" t="s">
        <v>66</v>
      </c>
      <c r="H842" s="14">
        <v>4</v>
      </c>
      <c r="I842" s="2">
        <v>1420</v>
      </c>
      <c r="J842" s="3">
        <v>20</v>
      </c>
      <c r="K842" s="2">
        <v>4544</v>
      </c>
      <c r="L842" s="2">
        <v>2590</v>
      </c>
      <c r="M842" s="2">
        <v>1954</v>
      </c>
      <c r="N842" s="14" t="s">
        <v>41</v>
      </c>
      <c r="O842" s="14">
        <v>1</v>
      </c>
      <c r="V842" s="2"/>
    </row>
    <row r="843" spans="1:22">
      <c r="A843">
        <v>10897</v>
      </c>
      <c r="B843" s="7" t="s">
        <v>329</v>
      </c>
      <c r="C843" s="14" t="s">
        <v>147</v>
      </c>
      <c r="D843" s="14" t="s">
        <v>45</v>
      </c>
      <c r="E843" s="14" t="s">
        <v>58</v>
      </c>
      <c r="F843" s="14" t="s">
        <v>43</v>
      </c>
      <c r="G843" s="14" t="s">
        <v>68</v>
      </c>
      <c r="H843" s="14">
        <v>8</v>
      </c>
      <c r="I843" s="2">
        <v>390</v>
      </c>
      <c r="J843" s="3">
        <v>15</v>
      </c>
      <c r="K843" s="2">
        <v>2652</v>
      </c>
      <c r="L843" s="2">
        <v>2201</v>
      </c>
      <c r="M843" s="2">
        <v>451</v>
      </c>
      <c r="N843" s="14" t="s">
        <v>44</v>
      </c>
      <c r="O843" s="14">
        <v>1</v>
      </c>
      <c r="V843" s="2"/>
    </row>
    <row r="844" spans="1:22">
      <c r="A844">
        <v>10898</v>
      </c>
      <c r="B844" s="7" t="s">
        <v>324</v>
      </c>
      <c r="C844" s="14" t="s">
        <v>128</v>
      </c>
      <c r="D844" s="14" t="s">
        <v>42</v>
      </c>
      <c r="E844" s="14" t="s">
        <v>56</v>
      </c>
      <c r="F844" s="14" t="s">
        <v>57</v>
      </c>
      <c r="G844" s="14" t="s">
        <v>64</v>
      </c>
      <c r="H844" s="14">
        <v>6</v>
      </c>
      <c r="I844" s="2">
        <v>720</v>
      </c>
      <c r="J844" s="3">
        <v>20</v>
      </c>
      <c r="K844" s="2">
        <v>3456</v>
      </c>
      <c r="L844" s="2">
        <v>2833</v>
      </c>
      <c r="M844" s="2">
        <v>623</v>
      </c>
      <c r="N844" s="14" t="s">
        <v>38</v>
      </c>
      <c r="O844" s="14">
        <v>5</v>
      </c>
      <c r="V844" s="2"/>
    </row>
    <row r="845" spans="1:22">
      <c r="A845">
        <v>10899</v>
      </c>
      <c r="B845" s="7" t="s">
        <v>210</v>
      </c>
      <c r="C845" s="14" t="s">
        <v>128</v>
      </c>
      <c r="D845" s="14" t="s">
        <v>42</v>
      </c>
      <c r="E845" s="14" t="s">
        <v>58</v>
      </c>
      <c r="F845" s="14" t="s">
        <v>43</v>
      </c>
      <c r="G845" s="14" t="s">
        <v>68</v>
      </c>
      <c r="H845" s="14">
        <v>13</v>
      </c>
      <c r="I845" s="2">
        <v>210</v>
      </c>
      <c r="J845" s="3">
        <v>5</v>
      </c>
      <c r="K845" s="2">
        <v>2593.5</v>
      </c>
      <c r="L845" s="2">
        <v>2126</v>
      </c>
      <c r="M845" s="2">
        <v>467.5</v>
      </c>
      <c r="N845" s="14" t="s">
        <v>41</v>
      </c>
      <c r="O845" s="14">
        <v>4</v>
      </c>
      <c r="V845" s="2"/>
    </row>
    <row r="846" spans="1:22">
      <c r="A846">
        <v>10900</v>
      </c>
      <c r="B846" s="7" t="s">
        <v>360</v>
      </c>
      <c r="C846" s="14" t="s">
        <v>147</v>
      </c>
      <c r="D846" s="14" t="s">
        <v>45</v>
      </c>
      <c r="E846" s="14" t="s">
        <v>61</v>
      </c>
      <c r="F846" s="14" t="s">
        <v>143</v>
      </c>
      <c r="G846" s="14" t="s">
        <v>74</v>
      </c>
      <c r="H846" s="14">
        <v>12</v>
      </c>
      <c r="I846" s="2">
        <v>1040</v>
      </c>
      <c r="J846" s="3">
        <v>20</v>
      </c>
      <c r="K846" s="2">
        <v>9984</v>
      </c>
      <c r="L846" s="2">
        <v>7488</v>
      </c>
      <c r="M846" s="2">
        <v>2496</v>
      </c>
      <c r="N846" s="14" t="s">
        <v>38</v>
      </c>
      <c r="O846" s="14">
        <v>3</v>
      </c>
      <c r="V846" s="2"/>
    </row>
    <row r="847" spans="1:22">
      <c r="A847">
        <v>10901</v>
      </c>
      <c r="B847" s="7" t="s">
        <v>271</v>
      </c>
      <c r="C847" s="14" t="s">
        <v>125</v>
      </c>
      <c r="D847" s="14" t="s">
        <v>42</v>
      </c>
      <c r="E847" s="14" t="s">
        <v>58</v>
      </c>
      <c r="F847" s="14" t="s">
        <v>55</v>
      </c>
      <c r="G847" s="14" t="s">
        <v>74</v>
      </c>
      <c r="H847" s="14">
        <v>2</v>
      </c>
      <c r="I847" s="2">
        <v>310</v>
      </c>
      <c r="J847" s="3">
        <v>5</v>
      </c>
      <c r="K847" s="2">
        <v>589</v>
      </c>
      <c r="L847" s="2">
        <v>459</v>
      </c>
      <c r="M847" s="2">
        <v>130</v>
      </c>
      <c r="N847" s="14" t="s">
        <v>38</v>
      </c>
      <c r="O847" s="14">
        <v>1</v>
      </c>
      <c r="V847" s="2"/>
    </row>
    <row r="848" spans="1:22">
      <c r="A848">
        <v>10902</v>
      </c>
      <c r="B848" s="7" t="s">
        <v>533</v>
      </c>
      <c r="C848" s="14" t="s">
        <v>111</v>
      </c>
      <c r="D848" s="14" t="s">
        <v>36</v>
      </c>
      <c r="E848" s="14" t="s">
        <v>61</v>
      </c>
      <c r="F848" s="14" t="s">
        <v>46</v>
      </c>
      <c r="G848" s="14" t="s">
        <v>72</v>
      </c>
      <c r="H848" s="14">
        <v>1</v>
      </c>
      <c r="I848" s="2">
        <v>1540</v>
      </c>
      <c r="J848" s="3">
        <v>20</v>
      </c>
      <c r="K848" s="2">
        <v>1232</v>
      </c>
      <c r="L848" s="2">
        <v>714</v>
      </c>
      <c r="M848" s="2">
        <v>518</v>
      </c>
      <c r="N848" s="14" t="s">
        <v>47</v>
      </c>
      <c r="O848" s="14">
        <v>2</v>
      </c>
      <c r="V848" s="2"/>
    </row>
    <row r="849" spans="1:22">
      <c r="A849">
        <v>10903</v>
      </c>
      <c r="B849" s="7" t="s">
        <v>281</v>
      </c>
      <c r="C849" s="14" t="s">
        <v>125</v>
      </c>
      <c r="D849" s="14" t="s">
        <v>45</v>
      </c>
      <c r="E849" s="14" t="s">
        <v>61</v>
      </c>
      <c r="F849" s="14" t="s">
        <v>117</v>
      </c>
      <c r="G849" s="14" t="s">
        <v>68</v>
      </c>
      <c r="H849" s="14">
        <v>6</v>
      </c>
      <c r="I849" s="2">
        <v>950</v>
      </c>
      <c r="J849" s="3">
        <v>20</v>
      </c>
      <c r="K849" s="2">
        <v>4560</v>
      </c>
      <c r="L849" s="2">
        <v>2599</v>
      </c>
      <c r="M849" s="2">
        <v>1961</v>
      </c>
      <c r="N849" s="14" t="s">
        <v>38</v>
      </c>
      <c r="O849" s="14">
        <v>1</v>
      </c>
      <c r="V849" s="2"/>
    </row>
    <row r="850" spans="1:22">
      <c r="A850">
        <v>10904</v>
      </c>
      <c r="B850" s="7" t="s">
        <v>223</v>
      </c>
      <c r="C850" s="14" t="s">
        <v>135</v>
      </c>
      <c r="D850" s="14" t="s">
        <v>39</v>
      </c>
      <c r="E850" s="14" t="s">
        <v>58</v>
      </c>
      <c r="F850" s="14" t="s">
        <v>43</v>
      </c>
      <c r="G850" s="14" t="s">
        <v>64</v>
      </c>
      <c r="H850" s="14">
        <v>1</v>
      </c>
      <c r="I850" s="2">
        <v>1900</v>
      </c>
      <c r="J850" s="3">
        <v>5</v>
      </c>
      <c r="K850" s="2">
        <v>1805</v>
      </c>
      <c r="L850" s="2">
        <v>1462</v>
      </c>
      <c r="M850" s="2">
        <v>343</v>
      </c>
      <c r="N850" s="14" t="s">
        <v>38</v>
      </c>
      <c r="O850" s="14">
        <v>4</v>
      </c>
      <c r="V850" s="2"/>
    </row>
    <row r="851" spans="1:22">
      <c r="A851">
        <v>10905</v>
      </c>
      <c r="B851" s="7" t="s">
        <v>355</v>
      </c>
      <c r="C851" s="14" t="s">
        <v>128</v>
      </c>
      <c r="D851" s="14" t="s">
        <v>42</v>
      </c>
      <c r="E851" s="14" t="s">
        <v>58</v>
      </c>
      <c r="F851" s="14" t="s">
        <v>37</v>
      </c>
      <c r="G851" s="14" t="s">
        <v>74</v>
      </c>
      <c r="H851" s="14">
        <v>7</v>
      </c>
      <c r="I851" s="2">
        <v>680</v>
      </c>
      <c r="J851" s="3">
        <v>5</v>
      </c>
      <c r="K851" s="2">
        <v>4522</v>
      </c>
      <c r="L851" s="2">
        <v>2848</v>
      </c>
      <c r="M851" s="2">
        <v>1674</v>
      </c>
      <c r="N851" s="14" t="s">
        <v>44</v>
      </c>
      <c r="O851" s="14">
        <v>2</v>
      </c>
      <c r="V851" s="2"/>
    </row>
    <row r="852" spans="1:22">
      <c r="A852">
        <v>10906</v>
      </c>
      <c r="B852" s="7" t="s">
        <v>515</v>
      </c>
      <c r="C852" s="14" t="s">
        <v>147</v>
      </c>
      <c r="D852" s="14" t="s">
        <v>45</v>
      </c>
      <c r="E852" s="14" t="s">
        <v>56</v>
      </c>
      <c r="F852" s="14" t="s">
        <v>49</v>
      </c>
      <c r="G852" s="14" t="s">
        <v>66</v>
      </c>
      <c r="H852" s="14">
        <v>15</v>
      </c>
      <c r="I852" s="2">
        <v>1340</v>
      </c>
      <c r="J852" s="3">
        <v>20</v>
      </c>
      <c r="K852" s="2">
        <v>16080</v>
      </c>
      <c r="L852" s="2">
        <v>9004</v>
      </c>
      <c r="M852" s="2">
        <v>7076</v>
      </c>
      <c r="N852" s="14" t="s">
        <v>47</v>
      </c>
      <c r="O852" s="14">
        <v>5</v>
      </c>
      <c r="V852" s="2"/>
    </row>
    <row r="853" spans="1:22">
      <c r="A853">
        <v>10907</v>
      </c>
      <c r="B853" s="7" t="s">
        <v>239</v>
      </c>
      <c r="C853" s="14" t="s">
        <v>128</v>
      </c>
      <c r="D853" s="14" t="s">
        <v>42</v>
      </c>
      <c r="E853" s="14" t="s">
        <v>58</v>
      </c>
      <c r="F853" s="14" t="s">
        <v>43</v>
      </c>
      <c r="G853" s="14" t="s">
        <v>63</v>
      </c>
      <c r="H853" s="14">
        <v>11</v>
      </c>
      <c r="I853" s="2">
        <v>900</v>
      </c>
      <c r="J853" s="3">
        <v>10</v>
      </c>
      <c r="K853" s="2">
        <v>8910</v>
      </c>
      <c r="L853" s="2">
        <v>5613</v>
      </c>
      <c r="M853" s="2">
        <v>3297</v>
      </c>
      <c r="N853" s="14" t="s">
        <v>44</v>
      </c>
      <c r="O853" s="14">
        <v>3</v>
      </c>
      <c r="V853" s="2"/>
    </row>
    <row r="854" spans="1:22">
      <c r="A854">
        <v>10908</v>
      </c>
      <c r="B854" s="7" t="s">
        <v>430</v>
      </c>
      <c r="C854" s="14" t="s">
        <v>141</v>
      </c>
      <c r="D854" s="14" t="s">
        <v>45</v>
      </c>
      <c r="E854" s="14" t="s">
        <v>61</v>
      </c>
      <c r="F854" s="14" t="s">
        <v>52</v>
      </c>
      <c r="G854" s="14" t="s">
        <v>70</v>
      </c>
      <c r="H854" s="14">
        <v>5</v>
      </c>
      <c r="I854" s="2">
        <v>840</v>
      </c>
      <c r="J854" s="3">
        <v>15</v>
      </c>
      <c r="K854" s="2">
        <v>3570</v>
      </c>
      <c r="L854" s="2">
        <v>2641</v>
      </c>
      <c r="M854" s="2">
        <v>929</v>
      </c>
      <c r="N854" s="14" t="s">
        <v>44</v>
      </c>
      <c r="O854" s="14">
        <v>4</v>
      </c>
      <c r="V854" s="2"/>
    </row>
    <row r="855" spans="1:22">
      <c r="A855">
        <v>10909</v>
      </c>
      <c r="B855" s="7" t="s">
        <v>219</v>
      </c>
      <c r="C855" s="14" t="s">
        <v>116</v>
      </c>
      <c r="D855" s="14" t="s">
        <v>39</v>
      </c>
      <c r="E855" s="14" t="s">
        <v>58</v>
      </c>
      <c r="F855" s="14" t="s">
        <v>40</v>
      </c>
      <c r="G855" s="14" t="s">
        <v>68</v>
      </c>
      <c r="H855" s="14">
        <v>4</v>
      </c>
      <c r="I855" s="2">
        <v>1910</v>
      </c>
      <c r="J855" s="3">
        <v>10</v>
      </c>
      <c r="K855" s="2">
        <v>6876</v>
      </c>
      <c r="L855" s="2">
        <v>4194</v>
      </c>
      <c r="M855" s="2">
        <v>2682</v>
      </c>
      <c r="N855" s="14" t="s">
        <v>44</v>
      </c>
      <c r="O855" s="14">
        <v>5</v>
      </c>
      <c r="V855" s="2"/>
    </row>
    <row r="856" spans="1:22">
      <c r="A856">
        <v>10910</v>
      </c>
      <c r="B856" s="7" t="s">
        <v>503</v>
      </c>
      <c r="C856" s="14" t="s">
        <v>137</v>
      </c>
      <c r="D856" s="14" t="s">
        <v>42</v>
      </c>
      <c r="E856" s="14" t="s">
        <v>58</v>
      </c>
      <c r="F856" s="14" t="s">
        <v>37</v>
      </c>
      <c r="G856" s="14" t="s">
        <v>66</v>
      </c>
      <c r="H856" s="14">
        <v>9</v>
      </c>
      <c r="I856" s="2">
        <v>1760</v>
      </c>
      <c r="J856" s="3">
        <v>10</v>
      </c>
      <c r="K856" s="2">
        <v>14256</v>
      </c>
      <c r="L856" s="2">
        <v>9694</v>
      </c>
      <c r="M856" s="2">
        <v>4562</v>
      </c>
      <c r="N856" s="14" t="s">
        <v>41</v>
      </c>
      <c r="O856" s="14">
        <v>5</v>
      </c>
      <c r="V856" s="2"/>
    </row>
    <row r="857" spans="1:22">
      <c r="A857">
        <v>10911</v>
      </c>
      <c r="B857" s="7" t="s">
        <v>554</v>
      </c>
      <c r="C857" s="14" t="s">
        <v>128</v>
      </c>
      <c r="D857" s="14" t="s">
        <v>45</v>
      </c>
      <c r="E857" s="14" t="s">
        <v>56</v>
      </c>
      <c r="F857" s="14" t="s">
        <v>150</v>
      </c>
      <c r="G857" s="14" t="s">
        <v>74</v>
      </c>
      <c r="H857" s="14">
        <v>14</v>
      </c>
      <c r="I857" s="2">
        <v>510</v>
      </c>
      <c r="J857" s="3">
        <v>20</v>
      </c>
      <c r="K857" s="2">
        <v>5712</v>
      </c>
      <c r="L857" s="2">
        <v>3427</v>
      </c>
      <c r="M857" s="2">
        <v>2285</v>
      </c>
      <c r="N857" s="14" t="s">
        <v>44</v>
      </c>
      <c r="O857" s="14">
        <v>4</v>
      </c>
      <c r="V857" s="2"/>
    </row>
    <row r="858" spans="1:22">
      <c r="A858">
        <v>10912</v>
      </c>
      <c r="B858" s="7" t="s">
        <v>296</v>
      </c>
      <c r="C858" s="14" t="s">
        <v>137</v>
      </c>
      <c r="D858" s="14" t="s">
        <v>42</v>
      </c>
      <c r="E858" s="14" t="s">
        <v>61</v>
      </c>
      <c r="F858" s="14" t="s">
        <v>51</v>
      </c>
      <c r="G858" s="14" t="s">
        <v>63</v>
      </c>
      <c r="H858" s="14">
        <v>4</v>
      </c>
      <c r="I858" s="2">
        <v>560</v>
      </c>
      <c r="J858" s="3">
        <v>10</v>
      </c>
      <c r="K858" s="2">
        <v>2016</v>
      </c>
      <c r="L858" s="2">
        <v>1673</v>
      </c>
      <c r="M858" s="2">
        <v>343</v>
      </c>
      <c r="N858" s="14" t="s">
        <v>38</v>
      </c>
      <c r="O858" s="14">
        <v>5</v>
      </c>
      <c r="V858" s="2"/>
    </row>
    <row r="859" spans="1:22">
      <c r="A859">
        <v>10914</v>
      </c>
      <c r="B859" s="7" t="s">
        <v>232</v>
      </c>
      <c r="C859" s="14" t="s">
        <v>130</v>
      </c>
      <c r="D859" s="14" t="s">
        <v>42</v>
      </c>
      <c r="E859" s="14" t="s">
        <v>58</v>
      </c>
      <c r="F859" s="14" t="s">
        <v>55</v>
      </c>
      <c r="G859" s="14" t="s">
        <v>64</v>
      </c>
      <c r="H859" s="14">
        <v>4</v>
      </c>
      <c r="I859" s="2">
        <v>1250</v>
      </c>
      <c r="J859" s="3">
        <v>15</v>
      </c>
      <c r="K859" s="2">
        <v>4250</v>
      </c>
      <c r="L859" s="2">
        <v>3060</v>
      </c>
      <c r="M859" s="2">
        <v>1190</v>
      </c>
      <c r="N859" s="14" t="s">
        <v>44</v>
      </c>
      <c r="O859" s="14">
        <v>1</v>
      </c>
      <c r="V859" s="2"/>
    </row>
    <row r="860" spans="1:22">
      <c r="A860">
        <v>10915</v>
      </c>
      <c r="B860" s="7" t="s">
        <v>228</v>
      </c>
      <c r="C860" s="14" t="s">
        <v>128</v>
      </c>
      <c r="D860" s="14" t="s">
        <v>42</v>
      </c>
      <c r="E860" s="14" t="s">
        <v>61</v>
      </c>
      <c r="F860" s="14" t="s">
        <v>46</v>
      </c>
      <c r="G860" s="14" t="s">
        <v>64</v>
      </c>
      <c r="H860" s="14">
        <v>5</v>
      </c>
      <c r="I860" s="2">
        <v>1290</v>
      </c>
      <c r="J860" s="3">
        <v>5</v>
      </c>
      <c r="K860" s="2">
        <v>6127.5</v>
      </c>
      <c r="L860" s="2">
        <v>4105</v>
      </c>
      <c r="M860" s="2">
        <v>2022.5</v>
      </c>
      <c r="N860" s="14" t="s">
        <v>41</v>
      </c>
      <c r="O860" s="14">
        <v>5</v>
      </c>
      <c r="V860" s="2"/>
    </row>
    <row r="861" spans="1:22">
      <c r="A861">
        <v>10916</v>
      </c>
      <c r="B861" s="7" t="s">
        <v>382</v>
      </c>
      <c r="C861" s="14" t="s">
        <v>135</v>
      </c>
      <c r="D861" s="14" t="s">
        <v>45</v>
      </c>
      <c r="E861" s="14" t="s">
        <v>56</v>
      </c>
      <c r="F861" s="14" t="s">
        <v>50</v>
      </c>
      <c r="G861" s="14" t="s">
        <v>66</v>
      </c>
      <c r="H861" s="14">
        <v>8</v>
      </c>
      <c r="I861" s="2">
        <v>780</v>
      </c>
      <c r="J861" s="3">
        <v>5</v>
      </c>
      <c r="K861" s="2">
        <v>5928</v>
      </c>
      <c r="L861" s="2">
        <v>4446</v>
      </c>
      <c r="M861" s="2">
        <v>1482</v>
      </c>
      <c r="N861" s="14" t="s">
        <v>44</v>
      </c>
      <c r="O861" s="14">
        <v>4</v>
      </c>
      <c r="V861" s="2"/>
    </row>
    <row r="862" spans="1:22">
      <c r="A862">
        <v>10917</v>
      </c>
      <c r="B862" s="7" t="s">
        <v>555</v>
      </c>
      <c r="C862" s="14" t="s">
        <v>128</v>
      </c>
      <c r="D862" s="14" t="s">
        <v>45</v>
      </c>
      <c r="E862" s="14" t="s">
        <v>61</v>
      </c>
      <c r="F862" s="14" t="s">
        <v>52</v>
      </c>
      <c r="G862" s="14" t="s">
        <v>74</v>
      </c>
      <c r="H862" s="14">
        <v>10</v>
      </c>
      <c r="I862" s="2">
        <v>1300</v>
      </c>
      <c r="J862" s="3">
        <v>5</v>
      </c>
      <c r="K862" s="2">
        <v>12350</v>
      </c>
      <c r="L862" s="2">
        <v>8521</v>
      </c>
      <c r="M862" s="2">
        <v>3829</v>
      </c>
      <c r="N862" s="14" t="s">
        <v>41</v>
      </c>
      <c r="O862" s="14">
        <v>1</v>
      </c>
      <c r="V862" s="2"/>
    </row>
    <row r="863" spans="1:22">
      <c r="A863">
        <v>10918</v>
      </c>
      <c r="B863" s="7" t="s">
        <v>556</v>
      </c>
      <c r="C863" s="14" t="s">
        <v>125</v>
      </c>
      <c r="D863" s="14" t="s">
        <v>36</v>
      </c>
      <c r="E863" s="14" t="s">
        <v>58</v>
      </c>
      <c r="F863" s="14" t="s">
        <v>55</v>
      </c>
      <c r="G863" s="14" t="s">
        <v>63</v>
      </c>
      <c r="H863" s="14">
        <v>4</v>
      </c>
      <c r="I863" s="2">
        <v>1690</v>
      </c>
      <c r="J863" s="3">
        <v>5</v>
      </c>
      <c r="K863" s="2">
        <v>6422</v>
      </c>
      <c r="L863" s="2">
        <v>4559</v>
      </c>
      <c r="M863" s="2">
        <v>1863</v>
      </c>
      <c r="N863" s="14" t="s">
        <v>44</v>
      </c>
      <c r="O863" s="14">
        <v>3</v>
      </c>
      <c r="V863" s="2"/>
    </row>
    <row r="864" spans="1:22">
      <c r="A864">
        <v>10919</v>
      </c>
      <c r="B864" s="7" t="s">
        <v>557</v>
      </c>
      <c r="C864" s="14" t="s">
        <v>125</v>
      </c>
      <c r="D864" s="14" t="s">
        <v>36</v>
      </c>
      <c r="E864" s="14" t="s">
        <v>56</v>
      </c>
      <c r="F864" s="14" t="s">
        <v>49</v>
      </c>
      <c r="G864" s="14" t="s">
        <v>70</v>
      </c>
      <c r="H864" s="14">
        <v>3</v>
      </c>
      <c r="I864" s="2">
        <v>1390</v>
      </c>
      <c r="J864" s="3">
        <v>5</v>
      </c>
      <c r="K864" s="2">
        <v>3961.5</v>
      </c>
      <c r="L864" s="2">
        <v>3327</v>
      </c>
      <c r="M864" s="2">
        <v>634.5</v>
      </c>
      <c r="N864" s="14" t="s">
        <v>44</v>
      </c>
      <c r="O864" s="14">
        <v>2</v>
      </c>
      <c r="V864" s="2"/>
    </row>
    <row r="865" spans="1:22">
      <c r="A865">
        <v>10920</v>
      </c>
      <c r="B865" s="7" t="s">
        <v>506</v>
      </c>
      <c r="C865" s="14" t="s">
        <v>116</v>
      </c>
      <c r="D865" s="14" t="s">
        <v>36</v>
      </c>
      <c r="E865" s="14" t="s">
        <v>61</v>
      </c>
      <c r="F865" s="14" t="s">
        <v>46</v>
      </c>
      <c r="G865" s="14" t="s">
        <v>68</v>
      </c>
      <c r="H865" s="14">
        <v>9</v>
      </c>
      <c r="I865" s="2">
        <v>620</v>
      </c>
      <c r="J865" s="3">
        <v>0</v>
      </c>
      <c r="K865" s="2">
        <v>5580</v>
      </c>
      <c r="L865" s="2">
        <v>4575</v>
      </c>
      <c r="M865" s="2">
        <v>1005</v>
      </c>
      <c r="N865" s="14" t="s">
        <v>47</v>
      </c>
      <c r="O865" s="14">
        <v>3</v>
      </c>
      <c r="V865" s="2"/>
    </row>
    <row r="866" spans="1:22">
      <c r="A866">
        <v>10921</v>
      </c>
      <c r="B866" s="7" t="s">
        <v>392</v>
      </c>
      <c r="C866" s="14" t="s">
        <v>120</v>
      </c>
      <c r="D866" s="14" t="s">
        <v>42</v>
      </c>
      <c r="E866" s="14" t="s">
        <v>56</v>
      </c>
      <c r="F866" s="14" t="s">
        <v>49</v>
      </c>
      <c r="G866" s="14" t="s">
        <v>68</v>
      </c>
      <c r="H866" s="14">
        <v>11</v>
      </c>
      <c r="I866" s="2">
        <v>1000</v>
      </c>
      <c r="J866" s="3">
        <v>20</v>
      </c>
      <c r="K866" s="2">
        <v>8800</v>
      </c>
      <c r="L866" s="2">
        <v>4928</v>
      </c>
      <c r="M866" s="2">
        <v>3872</v>
      </c>
      <c r="N866" s="14" t="s">
        <v>38</v>
      </c>
      <c r="O866" s="14">
        <v>5</v>
      </c>
      <c r="V866" s="2"/>
    </row>
    <row r="867" spans="1:22">
      <c r="A867">
        <v>10922</v>
      </c>
      <c r="B867" s="7" t="s">
        <v>75</v>
      </c>
      <c r="C867" s="14" t="s">
        <v>125</v>
      </c>
      <c r="D867" s="14" t="s">
        <v>42</v>
      </c>
      <c r="E867" s="14" t="s">
        <v>56</v>
      </c>
      <c r="F867" s="14" t="s">
        <v>150</v>
      </c>
      <c r="G867" s="14" t="s">
        <v>72</v>
      </c>
      <c r="H867" s="14">
        <v>11</v>
      </c>
      <c r="I867" s="2">
        <v>940</v>
      </c>
      <c r="J867" s="3">
        <v>0</v>
      </c>
      <c r="K867" s="2">
        <v>10340</v>
      </c>
      <c r="L867" s="2">
        <v>6410</v>
      </c>
      <c r="M867" s="2">
        <v>3930</v>
      </c>
      <c r="N867" s="14" t="s">
        <v>38</v>
      </c>
      <c r="O867" s="14">
        <v>4</v>
      </c>
      <c r="V867" s="2"/>
    </row>
    <row r="868" spans="1:22">
      <c r="A868">
        <v>10923</v>
      </c>
      <c r="B868" s="7" t="s">
        <v>558</v>
      </c>
      <c r="C868" s="14" t="s">
        <v>147</v>
      </c>
      <c r="D868" s="14" t="s">
        <v>36</v>
      </c>
      <c r="E868" s="14" t="s">
        <v>61</v>
      </c>
      <c r="F868" s="14" t="s">
        <v>51</v>
      </c>
      <c r="G868" s="14" t="s">
        <v>66</v>
      </c>
      <c r="H868" s="14">
        <v>7</v>
      </c>
      <c r="I868" s="2">
        <v>780</v>
      </c>
      <c r="J868" s="3">
        <v>5</v>
      </c>
      <c r="K868" s="2">
        <v>5187</v>
      </c>
      <c r="L868" s="2">
        <v>3475</v>
      </c>
      <c r="M868" s="2">
        <v>1712</v>
      </c>
      <c r="N868" s="14" t="s">
        <v>38</v>
      </c>
      <c r="O868" s="14">
        <v>1</v>
      </c>
      <c r="V868" s="2"/>
    </row>
    <row r="869" spans="1:22">
      <c r="A869">
        <v>10924</v>
      </c>
      <c r="B869" s="7" t="s">
        <v>374</v>
      </c>
      <c r="C869" s="14" t="s">
        <v>130</v>
      </c>
      <c r="D869" s="14" t="s">
        <v>39</v>
      </c>
      <c r="E869" s="14" t="s">
        <v>58</v>
      </c>
      <c r="F869" s="14" t="s">
        <v>43</v>
      </c>
      <c r="G869" s="14" t="s">
        <v>70</v>
      </c>
      <c r="H869" s="14">
        <v>13</v>
      </c>
      <c r="I869" s="2">
        <v>550</v>
      </c>
      <c r="J869" s="3">
        <v>5</v>
      </c>
      <c r="K869" s="2">
        <v>6792.5</v>
      </c>
      <c r="L869" s="2">
        <v>5434</v>
      </c>
      <c r="M869" s="2">
        <v>1358.5</v>
      </c>
      <c r="N869" s="14" t="s">
        <v>41</v>
      </c>
      <c r="O869" s="14">
        <v>4</v>
      </c>
      <c r="V869" s="2"/>
    </row>
    <row r="870" spans="1:22">
      <c r="A870">
        <v>10925</v>
      </c>
      <c r="B870" s="7" t="s">
        <v>466</v>
      </c>
      <c r="C870" s="14" t="s">
        <v>137</v>
      </c>
      <c r="D870" s="14" t="s">
        <v>45</v>
      </c>
      <c r="E870" s="14" t="s">
        <v>61</v>
      </c>
      <c r="F870" s="14" t="s">
        <v>143</v>
      </c>
      <c r="G870" s="14" t="s">
        <v>63</v>
      </c>
      <c r="H870" s="14">
        <v>2</v>
      </c>
      <c r="I870" s="2">
        <v>820</v>
      </c>
      <c r="J870" s="3">
        <v>15</v>
      </c>
      <c r="K870" s="2">
        <v>1394</v>
      </c>
      <c r="L870" s="2">
        <v>947</v>
      </c>
      <c r="M870" s="2">
        <v>447</v>
      </c>
      <c r="N870" s="14" t="s">
        <v>44</v>
      </c>
      <c r="O870" s="14">
        <v>5</v>
      </c>
      <c r="V870" s="2"/>
    </row>
    <row r="871" spans="1:22">
      <c r="A871">
        <v>10926</v>
      </c>
      <c r="B871" s="7" t="s">
        <v>376</v>
      </c>
      <c r="C871" s="14" t="s">
        <v>111</v>
      </c>
      <c r="D871" s="14" t="s">
        <v>39</v>
      </c>
      <c r="E871" s="14" t="s">
        <v>61</v>
      </c>
      <c r="F871" s="14" t="s">
        <v>52</v>
      </c>
      <c r="G871" s="14" t="s">
        <v>68</v>
      </c>
      <c r="H871" s="14">
        <v>9</v>
      </c>
      <c r="I871" s="2">
        <v>1030</v>
      </c>
      <c r="J871" s="3">
        <v>5</v>
      </c>
      <c r="K871" s="2">
        <v>8806.5</v>
      </c>
      <c r="L871" s="2">
        <v>6076</v>
      </c>
      <c r="M871" s="2">
        <v>2730.5</v>
      </c>
      <c r="N871" s="14" t="s">
        <v>38</v>
      </c>
      <c r="O871" s="14">
        <v>2</v>
      </c>
      <c r="V871" s="2"/>
    </row>
    <row r="872" spans="1:22">
      <c r="A872">
        <v>10927</v>
      </c>
      <c r="B872" s="7" t="s">
        <v>237</v>
      </c>
      <c r="C872" s="14" t="s">
        <v>147</v>
      </c>
      <c r="D872" s="14" t="s">
        <v>39</v>
      </c>
      <c r="E872" s="14" t="s">
        <v>58</v>
      </c>
      <c r="F872" s="14" t="s">
        <v>55</v>
      </c>
      <c r="G872" s="14" t="s">
        <v>72</v>
      </c>
      <c r="H872" s="14">
        <v>7</v>
      </c>
      <c r="I872" s="2">
        <v>1250</v>
      </c>
      <c r="J872" s="3">
        <v>0</v>
      </c>
      <c r="K872" s="2">
        <v>8750</v>
      </c>
      <c r="L872" s="2">
        <v>5950</v>
      </c>
      <c r="M872" s="2">
        <v>2800</v>
      </c>
      <c r="N872" s="14" t="s">
        <v>38</v>
      </c>
      <c r="O872" s="14">
        <v>4</v>
      </c>
      <c r="V872" s="2"/>
    </row>
    <row r="873" spans="1:22">
      <c r="A873">
        <v>10928</v>
      </c>
      <c r="B873" s="7" t="s">
        <v>465</v>
      </c>
      <c r="C873" s="14" t="s">
        <v>147</v>
      </c>
      <c r="D873" s="14" t="s">
        <v>36</v>
      </c>
      <c r="E873" s="14" t="s">
        <v>58</v>
      </c>
      <c r="F873" s="14" t="s">
        <v>43</v>
      </c>
      <c r="G873" s="14" t="s">
        <v>74</v>
      </c>
      <c r="H873" s="14">
        <v>2</v>
      </c>
      <c r="I873" s="2">
        <v>1040</v>
      </c>
      <c r="J873" s="3">
        <v>0</v>
      </c>
      <c r="K873" s="2">
        <v>2080</v>
      </c>
      <c r="L873" s="2">
        <v>1144</v>
      </c>
      <c r="M873" s="2">
        <v>936</v>
      </c>
      <c r="N873" s="14" t="s">
        <v>41</v>
      </c>
      <c r="O873" s="14">
        <v>5</v>
      </c>
      <c r="V873" s="2"/>
    </row>
    <row r="874" spans="1:22">
      <c r="A874">
        <v>10929</v>
      </c>
      <c r="B874" s="7" t="s">
        <v>192</v>
      </c>
      <c r="C874" s="14" t="s">
        <v>141</v>
      </c>
      <c r="D874" s="14" t="s">
        <v>42</v>
      </c>
      <c r="E874" s="14" t="s">
        <v>61</v>
      </c>
      <c r="F874" s="14" t="s">
        <v>46</v>
      </c>
      <c r="G874" s="14" t="s">
        <v>70</v>
      </c>
      <c r="H874" s="14">
        <v>3</v>
      </c>
      <c r="I874" s="2">
        <v>1500</v>
      </c>
      <c r="J874" s="3">
        <v>20</v>
      </c>
      <c r="K874" s="2">
        <v>3600</v>
      </c>
      <c r="L874" s="2">
        <v>2052</v>
      </c>
      <c r="M874" s="2">
        <v>1548</v>
      </c>
      <c r="N874" s="14" t="s">
        <v>47</v>
      </c>
      <c r="O874" s="14">
        <v>5</v>
      </c>
      <c r="V874" s="2"/>
    </row>
    <row r="875" spans="1:22">
      <c r="A875">
        <v>10930</v>
      </c>
      <c r="B875" s="7" t="s">
        <v>450</v>
      </c>
      <c r="C875" s="14" t="s">
        <v>120</v>
      </c>
      <c r="D875" s="14" t="s">
        <v>39</v>
      </c>
      <c r="E875" s="14" t="s">
        <v>61</v>
      </c>
      <c r="F875" s="14" t="s">
        <v>52</v>
      </c>
      <c r="G875" s="14" t="s">
        <v>72</v>
      </c>
      <c r="H875" s="14">
        <v>2</v>
      </c>
      <c r="I875" s="2">
        <v>200</v>
      </c>
      <c r="J875" s="3">
        <v>10</v>
      </c>
      <c r="K875" s="2">
        <v>360</v>
      </c>
      <c r="L875" s="2">
        <v>306</v>
      </c>
      <c r="M875" s="2">
        <v>54</v>
      </c>
      <c r="N875" s="14" t="s">
        <v>47</v>
      </c>
      <c r="O875" s="14">
        <v>3</v>
      </c>
      <c r="V875" s="2"/>
    </row>
    <row r="876" spans="1:22">
      <c r="A876">
        <v>10931</v>
      </c>
      <c r="B876" s="7" t="s">
        <v>311</v>
      </c>
      <c r="C876" s="14" t="s">
        <v>111</v>
      </c>
      <c r="D876" s="14" t="s">
        <v>45</v>
      </c>
      <c r="E876" s="14" t="s">
        <v>61</v>
      </c>
      <c r="F876" s="14" t="s">
        <v>46</v>
      </c>
      <c r="G876" s="14" t="s">
        <v>70</v>
      </c>
      <c r="H876" s="14">
        <v>13</v>
      </c>
      <c r="I876" s="2">
        <v>220</v>
      </c>
      <c r="J876" s="3">
        <v>20</v>
      </c>
      <c r="K876" s="2">
        <v>2288</v>
      </c>
      <c r="L876" s="2">
        <v>1716</v>
      </c>
      <c r="M876" s="2">
        <v>572</v>
      </c>
      <c r="N876" s="14" t="s">
        <v>38</v>
      </c>
      <c r="O876" s="14">
        <v>2</v>
      </c>
      <c r="V876" s="2"/>
    </row>
    <row r="877" spans="1:22">
      <c r="A877">
        <v>10932</v>
      </c>
      <c r="B877" s="7" t="s">
        <v>446</v>
      </c>
      <c r="C877" s="14" t="s">
        <v>147</v>
      </c>
      <c r="D877" s="14" t="s">
        <v>39</v>
      </c>
      <c r="E877" s="14" t="s">
        <v>58</v>
      </c>
      <c r="F877" s="14" t="s">
        <v>43</v>
      </c>
      <c r="G877" s="14" t="s">
        <v>64</v>
      </c>
      <c r="H877" s="14">
        <v>9</v>
      </c>
      <c r="I877" s="2">
        <v>250</v>
      </c>
      <c r="J877" s="3">
        <v>20</v>
      </c>
      <c r="K877" s="2">
        <v>1800</v>
      </c>
      <c r="L877" s="2">
        <v>1224</v>
      </c>
      <c r="M877" s="2">
        <v>576</v>
      </c>
      <c r="N877" s="14" t="s">
        <v>38</v>
      </c>
      <c r="O877" s="14">
        <v>5</v>
      </c>
      <c r="V877" s="2"/>
    </row>
    <row r="878" spans="1:22">
      <c r="A878">
        <v>10933</v>
      </c>
      <c r="B878" s="7" t="s">
        <v>480</v>
      </c>
      <c r="C878" s="14" t="s">
        <v>120</v>
      </c>
      <c r="D878" s="14" t="s">
        <v>45</v>
      </c>
      <c r="E878" s="14" t="s">
        <v>56</v>
      </c>
      <c r="F878" s="14" t="s">
        <v>50</v>
      </c>
      <c r="G878" s="14" t="s">
        <v>63</v>
      </c>
      <c r="H878" s="14">
        <v>9</v>
      </c>
      <c r="I878" s="2">
        <v>1630</v>
      </c>
      <c r="J878" s="3">
        <v>5</v>
      </c>
      <c r="K878" s="2">
        <v>13936.5</v>
      </c>
      <c r="L878" s="2">
        <v>11846</v>
      </c>
      <c r="M878" s="2">
        <v>2090.5</v>
      </c>
      <c r="N878" s="14" t="s">
        <v>47</v>
      </c>
      <c r="O878" s="14">
        <v>4</v>
      </c>
      <c r="V878" s="2"/>
    </row>
    <row r="879" spans="1:22">
      <c r="A879">
        <v>10934</v>
      </c>
      <c r="B879" s="7" t="s">
        <v>559</v>
      </c>
      <c r="C879" s="14" t="s">
        <v>128</v>
      </c>
      <c r="D879" s="14" t="s">
        <v>39</v>
      </c>
      <c r="E879" s="14" t="s">
        <v>58</v>
      </c>
      <c r="F879" s="14" t="s">
        <v>37</v>
      </c>
      <c r="G879" s="14" t="s">
        <v>74</v>
      </c>
      <c r="H879" s="14">
        <v>10</v>
      </c>
      <c r="I879" s="2">
        <v>1310</v>
      </c>
      <c r="J879" s="3">
        <v>5</v>
      </c>
      <c r="K879" s="2">
        <v>12445</v>
      </c>
      <c r="L879" s="2">
        <v>9582</v>
      </c>
      <c r="M879" s="2">
        <v>2863</v>
      </c>
      <c r="N879" s="14" t="s">
        <v>44</v>
      </c>
      <c r="O879" s="14">
        <v>3</v>
      </c>
      <c r="V879" s="2"/>
    </row>
    <row r="880" spans="1:22">
      <c r="A880">
        <v>10935</v>
      </c>
      <c r="B880" s="7" t="s">
        <v>295</v>
      </c>
      <c r="C880" s="14" t="s">
        <v>120</v>
      </c>
      <c r="D880" s="14" t="s">
        <v>36</v>
      </c>
      <c r="E880" s="14" t="s">
        <v>56</v>
      </c>
      <c r="F880" s="14" t="s">
        <v>150</v>
      </c>
      <c r="G880" s="14" t="s">
        <v>72</v>
      </c>
      <c r="H880" s="14">
        <v>13</v>
      </c>
      <c r="I880" s="2">
        <v>540</v>
      </c>
      <c r="J880" s="3">
        <v>5</v>
      </c>
      <c r="K880" s="2">
        <v>6669</v>
      </c>
      <c r="L880" s="2">
        <v>3667</v>
      </c>
      <c r="M880" s="2">
        <v>3002</v>
      </c>
      <c r="N880" s="14" t="s">
        <v>47</v>
      </c>
      <c r="O880" s="14">
        <v>5</v>
      </c>
      <c r="V880" s="2"/>
    </row>
    <row r="881" spans="1:22">
      <c r="A881">
        <v>10938</v>
      </c>
      <c r="B881" s="7" t="s">
        <v>560</v>
      </c>
      <c r="C881" s="14" t="s">
        <v>141</v>
      </c>
      <c r="D881" s="14" t="s">
        <v>39</v>
      </c>
      <c r="E881" s="14" t="s">
        <v>56</v>
      </c>
      <c r="F881" s="14" t="s">
        <v>150</v>
      </c>
      <c r="G881" s="14" t="s">
        <v>66</v>
      </c>
      <c r="H881" s="14">
        <v>1</v>
      </c>
      <c r="I881" s="2">
        <v>740</v>
      </c>
      <c r="J881" s="3">
        <v>20</v>
      </c>
      <c r="K881" s="2">
        <v>592</v>
      </c>
      <c r="L881" s="2">
        <v>355</v>
      </c>
      <c r="M881" s="2">
        <v>237</v>
      </c>
      <c r="N881" s="14" t="s">
        <v>41</v>
      </c>
      <c r="O881" s="14">
        <v>4</v>
      </c>
      <c r="V881" s="2"/>
    </row>
    <row r="882" spans="1:22">
      <c r="A882">
        <v>10939</v>
      </c>
      <c r="B882" s="7" t="s">
        <v>561</v>
      </c>
      <c r="C882" s="14" t="s">
        <v>116</v>
      </c>
      <c r="D882" s="14" t="s">
        <v>39</v>
      </c>
      <c r="E882" s="14" t="s">
        <v>61</v>
      </c>
      <c r="F882" s="14" t="s">
        <v>117</v>
      </c>
      <c r="G882" s="14" t="s">
        <v>63</v>
      </c>
      <c r="H882" s="14">
        <v>5</v>
      </c>
      <c r="I882" s="2">
        <v>1110</v>
      </c>
      <c r="J882" s="3">
        <v>15</v>
      </c>
      <c r="K882" s="2">
        <v>4717.5</v>
      </c>
      <c r="L882" s="2">
        <v>2877</v>
      </c>
      <c r="M882" s="2">
        <v>1840.5</v>
      </c>
      <c r="N882" s="14" t="s">
        <v>38</v>
      </c>
      <c r="O882" s="14">
        <v>2</v>
      </c>
      <c r="V882" s="2"/>
    </row>
    <row r="883" spans="1:22">
      <c r="A883">
        <v>10940</v>
      </c>
      <c r="B883" s="7" t="s">
        <v>160</v>
      </c>
      <c r="C883" s="14" t="s">
        <v>135</v>
      </c>
      <c r="D883" s="14" t="s">
        <v>42</v>
      </c>
      <c r="E883" s="14" t="s">
        <v>61</v>
      </c>
      <c r="F883" s="14" t="s">
        <v>46</v>
      </c>
      <c r="G883" s="14" t="s">
        <v>68</v>
      </c>
      <c r="H883" s="14">
        <v>14</v>
      </c>
      <c r="I883" s="2">
        <v>1300</v>
      </c>
      <c r="J883" s="3">
        <v>15</v>
      </c>
      <c r="K883" s="2">
        <v>15470</v>
      </c>
      <c r="L883" s="2">
        <v>11138</v>
      </c>
      <c r="M883" s="2">
        <v>4332</v>
      </c>
      <c r="N883" s="14" t="s">
        <v>47</v>
      </c>
      <c r="O883" s="14">
        <v>2</v>
      </c>
      <c r="V883" s="2"/>
    </row>
    <row r="884" spans="1:22">
      <c r="A884">
        <v>10941</v>
      </c>
      <c r="B884" s="7" t="s">
        <v>345</v>
      </c>
      <c r="C884" s="14" t="s">
        <v>141</v>
      </c>
      <c r="D884" s="14" t="s">
        <v>36</v>
      </c>
      <c r="E884" s="14" t="s">
        <v>56</v>
      </c>
      <c r="F884" s="14" t="s">
        <v>57</v>
      </c>
      <c r="G884" s="14" t="s">
        <v>70</v>
      </c>
      <c r="H884" s="14">
        <v>15</v>
      </c>
      <c r="I884" s="2">
        <v>1060</v>
      </c>
      <c r="J884" s="3">
        <v>5</v>
      </c>
      <c r="K884" s="2">
        <v>15105</v>
      </c>
      <c r="L884" s="2">
        <v>11479</v>
      </c>
      <c r="M884" s="2">
        <v>3626</v>
      </c>
      <c r="N884" s="14" t="s">
        <v>44</v>
      </c>
      <c r="O884" s="14">
        <v>4</v>
      </c>
      <c r="V884" s="2"/>
    </row>
    <row r="885" spans="1:22">
      <c r="A885">
        <v>10942</v>
      </c>
      <c r="B885" s="7" t="s">
        <v>298</v>
      </c>
      <c r="C885" s="14" t="s">
        <v>116</v>
      </c>
      <c r="D885" s="14" t="s">
        <v>36</v>
      </c>
      <c r="E885" s="14" t="s">
        <v>61</v>
      </c>
      <c r="F885" s="14" t="s">
        <v>52</v>
      </c>
      <c r="G885" s="14" t="s">
        <v>63</v>
      </c>
      <c r="H885" s="14">
        <v>3</v>
      </c>
      <c r="I885" s="2">
        <v>1270</v>
      </c>
      <c r="J885" s="3">
        <v>0</v>
      </c>
      <c r="K885" s="2">
        <v>3810</v>
      </c>
      <c r="L885" s="2">
        <v>2324</v>
      </c>
      <c r="M885" s="2">
        <v>1486</v>
      </c>
      <c r="N885" s="14" t="s">
        <v>47</v>
      </c>
      <c r="O885" s="14">
        <v>4</v>
      </c>
      <c r="V885" s="2"/>
    </row>
    <row r="886" spans="1:22">
      <c r="A886">
        <v>10944</v>
      </c>
      <c r="B886" s="7" t="s">
        <v>447</v>
      </c>
      <c r="C886" s="14" t="s">
        <v>111</v>
      </c>
      <c r="D886" s="14" t="s">
        <v>42</v>
      </c>
      <c r="E886" s="14" t="s">
        <v>56</v>
      </c>
      <c r="F886" s="14" t="s">
        <v>49</v>
      </c>
      <c r="G886" s="14" t="s">
        <v>72</v>
      </c>
      <c r="H886" s="14">
        <v>7</v>
      </c>
      <c r="I886" s="2">
        <v>1190</v>
      </c>
      <c r="J886" s="3">
        <v>5</v>
      </c>
      <c r="K886" s="2">
        <v>7913.5</v>
      </c>
      <c r="L886" s="2">
        <v>5697</v>
      </c>
      <c r="M886" s="2">
        <v>2216.5</v>
      </c>
      <c r="N886" s="14" t="s">
        <v>41</v>
      </c>
      <c r="O886" s="14">
        <v>1</v>
      </c>
      <c r="V886" s="2"/>
    </row>
    <row r="887" spans="1:22">
      <c r="A887">
        <v>10946</v>
      </c>
      <c r="B887" s="7" t="s">
        <v>444</v>
      </c>
      <c r="C887" s="14" t="s">
        <v>120</v>
      </c>
      <c r="D887" s="14" t="s">
        <v>36</v>
      </c>
      <c r="E887" s="14" t="s">
        <v>61</v>
      </c>
      <c r="F887" s="14" t="s">
        <v>46</v>
      </c>
      <c r="G887" s="14" t="s">
        <v>66</v>
      </c>
      <c r="H887" s="14">
        <v>4</v>
      </c>
      <c r="I887" s="2">
        <v>270</v>
      </c>
      <c r="J887" s="3">
        <v>0</v>
      </c>
      <c r="K887" s="2">
        <v>1080</v>
      </c>
      <c r="L887" s="2">
        <v>604</v>
      </c>
      <c r="M887" s="2">
        <v>476</v>
      </c>
      <c r="N887" s="14" t="s">
        <v>47</v>
      </c>
      <c r="O887" s="14">
        <v>1</v>
      </c>
      <c r="V887" s="2"/>
    </row>
    <row r="888" spans="1:22">
      <c r="A888">
        <v>10947</v>
      </c>
      <c r="B888" s="7" t="s">
        <v>272</v>
      </c>
      <c r="C888" s="14" t="s">
        <v>120</v>
      </c>
      <c r="D888" s="14" t="s">
        <v>45</v>
      </c>
      <c r="E888" s="14" t="s">
        <v>61</v>
      </c>
      <c r="F888" s="14" t="s">
        <v>143</v>
      </c>
      <c r="G888" s="14" t="s">
        <v>64</v>
      </c>
      <c r="H888" s="14">
        <v>4</v>
      </c>
      <c r="I888" s="2">
        <v>1190</v>
      </c>
      <c r="J888" s="3">
        <v>5</v>
      </c>
      <c r="K888" s="2">
        <v>4522</v>
      </c>
      <c r="L888" s="2">
        <v>3436</v>
      </c>
      <c r="M888" s="2">
        <v>1086</v>
      </c>
      <c r="N888" s="14" t="s">
        <v>38</v>
      </c>
      <c r="O888" s="14">
        <v>1</v>
      </c>
      <c r="V888" s="2"/>
    </row>
    <row r="889" spans="1:22">
      <c r="A889">
        <v>10948</v>
      </c>
      <c r="B889" s="7" t="s">
        <v>234</v>
      </c>
      <c r="C889" s="14" t="s">
        <v>130</v>
      </c>
      <c r="D889" s="14" t="s">
        <v>42</v>
      </c>
      <c r="E889" s="14" t="s">
        <v>56</v>
      </c>
      <c r="F889" s="14" t="s">
        <v>50</v>
      </c>
      <c r="G889" s="14" t="s">
        <v>72</v>
      </c>
      <c r="H889" s="14">
        <v>4</v>
      </c>
      <c r="I889" s="2">
        <v>850</v>
      </c>
      <c r="J889" s="3">
        <v>15</v>
      </c>
      <c r="K889" s="2">
        <v>2890</v>
      </c>
      <c r="L889" s="2">
        <v>1589</v>
      </c>
      <c r="M889" s="2">
        <v>1301</v>
      </c>
      <c r="N889" s="14" t="s">
        <v>44</v>
      </c>
      <c r="O889" s="14">
        <v>3</v>
      </c>
      <c r="V889" s="2"/>
    </row>
    <row r="890" spans="1:22">
      <c r="A890">
        <v>10949</v>
      </c>
      <c r="B890" s="7" t="s">
        <v>556</v>
      </c>
      <c r="C890" s="14" t="s">
        <v>130</v>
      </c>
      <c r="D890" s="14" t="s">
        <v>39</v>
      </c>
      <c r="E890" s="14" t="s">
        <v>58</v>
      </c>
      <c r="F890" s="14" t="s">
        <v>55</v>
      </c>
      <c r="G890" s="14" t="s">
        <v>66</v>
      </c>
      <c r="H890" s="14">
        <v>13</v>
      </c>
      <c r="I890" s="2">
        <v>1950</v>
      </c>
      <c r="J890" s="3">
        <v>20</v>
      </c>
      <c r="K890" s="2">
        <v>20280</v>
      </c>
      <c r="L890" s="2">
        <v>14804</v>
      </c>
      <c r="M890" s="2">
        <v>5476</v>
      </c>
      <c r="N890" s="14" t="s">
        <v>44</v>
      </c>
      <c r="O890" s="14">
        <v>3</v>
      </c>
      <c r="V890" s="2"/>
    </row>
    <row r="891" spans="1:22">
      <c r="A891">
        <v>10950</v>
      </c>
      <c r="B891" s="7" t="s">
        <v>416</v>
      </c>
      <c r="C891" s="14" t="s">
        <v>111</v>
      </c>
      <c r="D891" s="14" t="s">
        <v>36</v>
      </c>
      <c r="E891" s="14" t="s">
        <v>58</v>
      </c>
      <c r="F891" s="14" t="s">
        <v>55</v>
      </c>
      <c r="G891" s="14" t="s">
        <v>70</v>
      </c>
      <c r="H891" s="14">
        <v>1</v>
      </c>
      <c r="I891" s="2">
        <v>730</v>
      </c>
      <c r="J891" s="3">
        <v>20</v>
      </c>
      <c r="K891" s="2">
        <v>584</v>
      </c>
      <c r="L891" s="2">
        <v>344</v>
      </c>
      <c r="M891" s="2">
        <v>240</v>
      </c>
      <c r="N891" s="14" t="s">
        <v>41</v>
      </c>
      <c r="O891" s="14">
        <v>1</v>
      </c>
      <c r="V891" s="2"/>
    </row>
    <row r="892" spans="1:22">
      <c r="A892">
        <v>10951</v>
      </c>
      <c r="B892" s="7" t="s">
        <v>562</v>
      </c>
      <c r="C892" s="14" t="s">
        <v>128</v>
      </c>
      <c r="D892" s="14" t="s">
        <v>45</v>
      </c>
      <c r="E892" s="14" t="s">
        <v>61</v>
      </c>
      <c r="F892" s="14" t="s">
        <v>51</v>
      </c>
      <c r="G892" s="14" t="s">
        <v>66</v>
      </c>
      <c r="H892" s="14">
        <v>3</v>
      </c>
      <c r="I892" s="2">
        <v>1530</v>
      </c>
      <c r="J892" s="3">
        <v>5</v>
      </c>
      <c r="K892" s="2">
        <v>4360.5</v>
      </c>
      <c r="L892" s="2">
        <v>2572</v>
      </c>
      <c r="M892" s="2">
        <v>1788.5</v>
      </c>
      <c r="N892" s="14" t="s">
        <v>47</v>
      </c>
      <c r="O892" s="14">
        <v>4</v>
      </c>
      <c r="V892" s="2"/>
    </row>
    <row r="893" spans="1:22">
      <c r="A893">
        <v>10952</v>
      </c>
      <c r="B893" s="7" t="s">
        <v>239</v>
      </c>
      <c r="C893" s="14" t="s">
        <v>135</v>
      </c>
      <c r="D893" s="14" t="s">
        <v>36</v>
      </c>
      <c r="E893" s="14" t="s">
        <v>61</v>
      </c>
      <c r="F893" s="14" t="s">
        <v>52</v>
      </c>
      <c r="G893" s="14" t="s">
        <v>64</v>
      </c>
      <c r="H893" s="14">
        <v>4</v>
      </c>
      <c r="I893" s="2">
        <v>1600</v>
      </c>
      <c r="J893" s="3">
        <v>15</v>
      </c>
      <c r="K893" s="2">
        <v>5440</v>
      </c>
      <c r="L893" s="2">
        <v>4352</v>
      </c>
      <c r="M893" s="2">
        <v>1088</v>
      </c>
      <c r="N893" s="14" t="s">
        <v>47</v>
      </c>
      <c r="O893" s="14">
        <v>4</v>
      </c>
      <c r="V893" s="2"/>
    </row>
    <row r="894" spans="1:22">
      <c r="A894">
        <v>10953</v>
      </c>
      <c r="B894" s="7" t="s">
        <v>268</v>
      </c>
      <c r="C894" s="14" t="s">
        <v>135</v>
      </c>
      <c r="D894" s="14" t="s">
        <v>42</v>
      </c>
      <c r="E894" s="14" t="s">
        <v>58</v>
      </c>
      <c r="F894" s="14" t="s">
        <v>43</v>
      </c>
      <c r="G894" s="14" t="s">
        <v>63</v>
      </c>
      <c r="H894" s="14">
        <v>5</v>
      </c>
      <c r="I894" s="2">
        <v>830</v>
      </c>
      <c r="J894" s="3">
        <v>20</v>
      </c>
      <c r="K894" s="2">
        <v>3320</v>
      </c>
      <c r="L894" s="2">
        <v>1992</v>
      </c>
      <c r="M894" s="2">
        <v>1328</v>
      </c>
      <c r="N894" s="14" t="s">
        <v>44</v>
      </c>
      <c r="O894" s="14">
        <v>1</v>
      </c>
      <c r="V894" s="2"/>
    </row>
    <row r="895" spans="1:22">
      <c r="A895">
        <v>10954</v>
      </c>
      <c r="B895" s="7" t="s">
        <v>237</v>
      </c>
      <c r="C895" s="14" t="s">
        <v>141</v>
      </c>
      <c r="D895" s="14" t="s">
        <v>42</v>
      </c>
      <c r="E895" s="14" t="s">
        <v>56</v>
      </c>
      <c r="F895" s="14" t="s">
        <v>50</v>
      </c>
      <c r="G895" s="14" t="s">
        <v>63</v>
      </c>
      <c r="H895" s="14">
        <v>13</v>
      </c>
      <c r="I895" s="2">
        <v>1530</v>
      </c>
      <c r="J895" s="3">
        <v>5</v>
      </c>
      <c r="K895" s="2">
        <v>18895.5</v>
      </c>
      <c r="L895" s="2">
        <v>12848</v>
      </c>
      <c r="M895" s="2">
        <v>6047.5</v>
      </c>
      <c r="N895" s="14" t="s">
        <v>47</v>
      </c>
      <c r="O895" s="14">
        <v>3</v>
      </c>
      <c r="V895" s="2"/>
    </row>
    <row r="896" spans="1:22">
      <c r="A896">
        <v>10955</v>
      </c>
      <c r="B896" s="7" t="s">
        <v>148</v>
      </c>
      <c r="C896" s="14" t="s">
        <v>125</v>
      </c>
      <c r="D896" s="14" t="s">
        <v>45</v>
      </c>
      <c r="E896" s="14" t="s">
        <v>56</v>
      </c>
      <c r="F896" s="14" t="s">
        <v>49</v>
      </c>
      <c r="G896" s="14" t="s">
        <v>64</v>
      </c>
      <c r="H896" s="14">
        <v>3</v>
      </c>
      <c r="I896" s="2">
        <v>1230</v>
      </c>
      <c r="J896" s="3">
        <v>0</v>
      </c>
      <c r="K896" s="2">
        <v>3690</v>
      </c>
      <c r="L896" s="2">
        <v>2066</v>
      </c>
      <c r="M896" s="2">
        <v>1624</v>
      </c>
      <c r="N896" s="14" t="s">
        <v>44</v>
      </c>
      <c r="O896" s="14">
        <v>1</v>
      </c>
      <c r="V896" s="2"/>
    </row>
    <row r="897" spans="1:22">
      <c r="A897">
        <v>10956</v>
      </c>
      <c r="B897" s="7" t="s">
        <v>225</v>
      </c>
      <c r="C897" s="14" t="s">
        <v>141</v>
      </c>
      <c r="D897" s="14" t="s">
        <v>45</v>
      </c>
      <c r="E897" s="14" t="s">
        <v>61</v>
      </c>
      <c r="F897" s="14" t="s">
        <v>51</v>
      </c>
      <c r="G897" s="14" t="s">
        <v>63</v>
      </c>
      <c r="H897" s="14">
        <v>15</v>
      </c>
      <c r="I897" s="2">
        <v>430</v>
      </c>
      <c r="J897" s="3">
        <v>20</v>
      </c>
      <c r="K897" s="2">
        <v>5160</v>
      </c>
      <c r="L897" s="2">
        <v>3663</v>
      </c>
      <c r="M897" s="2">
        <v>1497</v>
      </c>
      <c r="N897" s="14" t="s">
        <v>47</v>
      </c>
      <c r="O897" s="14">
        <v>5</v>
      </c>
      <c r="V897" s="2"/>
    </row>
    <row r="898" spans="1:22">
      <c r="A898">
        <v>10957</v>
      </c>
      <c r="B898" s="7" t="s">
        <v>228</v>
      </c>
      <c r="C898" s="14" t="s">
        <v>130</v>
      </c>
      <c r="D898" s="14" t="s">
        <v>45</v>
      </c>
      <c r="E898" s="14" t="s">
        <v>58</v>
      </c>
      <c r="F898" s="14" t="s">
        <v>40</v>
      </c>
      <c r="G898" s="14" t="s">
        <v>63</v>
      </c>
      <c r="H898" s="14">
        <v>2</v>
      </c>
      <c r="I898" s="2">
        <v>1880</v>
      </c>
      <c r="J898" s="3">
        <v>5</v>
      </c>
      <c r="K898" s="2">
        <v>3572</v>
      </c>
      <c r="L898" s="2">
        <v>2679</v>
      </c>
      <c r="M898" s="2">
        <v>893</v>
      </c>
      <c r="N898" s="14" t="s">
        <v>44</v>
      </c>
      <c r="O898" s="14">
        <v>5</v>
      </c>
      <c r="V898" s="2"/>
    </row>
    <row r="899" spans="1:22">
      <c r="A899">
        <v>10958</v>
      </c>
      <c r="B899" s="7" t="s">
        <v>161</v>
      </c>
      <c r="C899" s="14" t="s">
        <v>120</v>
      </c>
      <c r="D899" s="14" t="s">
        <v>39</v>
      </c>
      <c r="E899" s="14" t="s">
        <v>61</v>
      </c>
      <c r="F899" s="14" t="s">
        <v>51</v>
      </c>
      <c r="G899" s="14" t="s">
        <v>74</v>
      </c>
      <c r="H899" s="14">
        <v>8</v>
      </c>
      <c r="I899" s="2">
        <v>1800</v>
      </c>
      <c r="J899" s="3">
        <v>15</v>
      </c>
      <c r="K899" s="2">
        <v>12240</v>
      </c>
      <c r="L899" s="2">
        <v>10036</v>
      </c>
      <c r="M899" s="2">
        <v>2204</v>
      </c>
      <c r="N899" s="14" t="s">
        <v>47</v>
      </c>
      <c r="O899" s="14">
        <v>1</v>
      </c>
      <c r="V899" s="2"/>
    </row>
    <row r="900" spans="1:22">
      <c r="A900">
        <v>10959</v>
      </c>
      <c r="B900" s="7" t="s">
        <v>563</v>
      </c>
      <c r="C900" s="14" t="s">
        <v>120</v>
      </c>
      <c r="D900" s="14" t="s">
        <v>42</v>
      </c>
      <c r="E900" s="14" t="s">
        <v>58</v>
      </c>
      <c r="F900" s="14" t="s">
        <v>40</v>
      </c>
      <c r="G900" s="14" t="s">
        <v>66</v>
      </c>
      <c r="H900" s="14">
        <v>11</v>
      </c>
      <c r="I900" s="2">
        <v>480</v>
      </c>
      <c r="J900" s="3">
        <v>0</v>
      </c>
      <c r="K900" s="2">
        <v>5280</v>
      </c>
      <c r="L900" s="2">
        <v>3801</v>
      </c>
      <c r="M900" s="2">
        <v>1479</v>
      </c>
      <c r="N900" s="14" t="s">
        <v>41</v>
      </c>
      <c r="O900" s="14">
        <v>3</v>
      </c>
      <c r="V900" s="2"/>
    </row>
    <row r="901" spans="1:22">
      <c r="A901">
        <v>10960</v>
      </c>
      <c r="B901" s="7" t="s">
        <v>564</v>
      </c>
      <c r="C901" s="14" t="s">
        <v>130</v>
      </c>
      <c r="D901" s="14" t="s">
        <v>39</v>
      </c>
      <c r="E901" s="14" t="s">
        <v>58</v>
      </c>
      <c r="F901" s="14" t="s">
        <v>43</v>
      </c>
      <c r="G901" s="14" t="s">
        <v>68</v>
      </c>
      <c r="H901" s="14">
        <v>14</v>
      </c>
      <c r="I901" s="2">
        <v>1560</v>
      </c>
      <c r="J901" s="3">
        <v>20</v>
      </c>
      <c r="K901" s="2">
        <v>17472</v>
      </c>
      <c r="L901" s="2">
        <v>10308</v>
      </c>
      <c r="M901" s="2">
        <v>7164</v>
      </c>
      <c r="N901" s="14" t="s">
        <v>41</v>
      </c>
      <c r="O901" s="14">
        <v>1</v>
      </c>
      <c r="V901" s="2"/>
    </row>
    <row r="902" spans="1:22">
      <c r="A902">
        <v>10961</v>
      </c>
      <c r="B902" s="7" t="s">
        <v>565</v>
      </c>
      <c r="C902" s="14" t="s">
        <v>137</v>
      </c>
      <c r="D902" s="14" t="s">
        <v>39</v>
      </c>
      <c r="E902" s="14" t="s">
        <v>56</v>
      </c>
      <c r="F902" s="14" t="s">
        <v>49</v>
      </c>
      <c r="G902" s="14" t="s">
        <v>74</v>
      </c>
      <c r="H902" s="14">
        <v>8</v>
      </c>
      <c r="I902" s="2">
        <v>300</v>
      </c>
      <c r="J902" s="3">
        <v>20</v>
      </c>
      <c r="K902" s="2">
        <v>1920</v>
      </c>
      <c r="L902" s="2">
        <v>1632</v>
      </c>
      <c r="M902" s="2">
        <v>288</v>
      </c>
      <c r="N902" s="14" t="s">
        <v>38</v>
      </c>
      <c r="O902" s="14">
        <v>4</v>
      </c>
      <c r="V902" s="2"/>
    </row>
    <row r="903" spans="1:22">
      <c r="A903">
        <v>10962</v>
      </c>
      <c r="B903" s="7" t="s">
        <v>189</v>
      </c>
      <c r="C903" s="14" t="s">
        <v>128</v>
      </c>
      <c r="D903" s="14" t="s">
        <v>42</v>
      </c>
      <c r="E903" s="14" t="s">
        <v>58</v>
      </c>
      <c r="F903" s="14" t="s">
        <v>55</v>
      </c>
      <c r="G903" s="14" t="s">
        <v>74</v>
      </c>
      <c r="H903" s="14">
        <v>12</v>
      </c>
      <c r="I903" s="2">
        <v>410</v>
      </c>
      <c r="J903" s="3">
        <v>0</v>
      </c>
      <c r="K903" s="2">
        <v>4920</v>
      </c>
      <c r="L903" s="2">
        <v>2902</v>
      </c>
      <c r="M903" s="2">
        <v>2018</v>
      </c>
      <c r="N903" s="14" t="s">
        <v>38</v>
      </c>
      <c r="O903" s="14">
        <v>3</v>
      </c>
      <c r="V903" s="2"/>
    </row>
    <row r="904" spans="1:22">
      <c r="A904">
        <v>10963</v>
      </c>
      <c r="B904" s="7" t="s">
        <v>180</v>
      </c>
      <c r="C904" s="14" t="s">
        <v>130</v>
      </c>
      <c r="D904" s="14" t="s">
        <v>45</v>
      </c>
      <c r="E904" s="14" t="s">
        <v>61</v>
      </c>
      <c r="F904" s="14" t="s">
        <v>46</v>
      </c>
      <c r="G904" s="14" t="s">
        <v>68</v>
      </c>
      <c r="H904" s="14">
        <v>13</v>
      </c>
      <c r="I904" s="2">
        <v>390</v>
      </c>
      <c r="J904" s="3">
        <v>20</v>
      </c>
      <c r="K904" s="2">
        <v>4056</v>
      </c>
      <c r="L904" s="2">
        <v>2717</v>
      </c>
      <c r="M904" s="2">
        <v>1339</v>
      </c>
      <c r="N904" s="14" t="s">
        <v>47</v>
      </c>
      <c r="O904" s="14">
        <v>1</v>
      </c>
      <c r="V904" s="2"/>
    </row>
    <row r="905" spans="1:22">
      <c r="A905">
        <v>10964</v>
      </c>
      <c r="B905" s="7" t="s">
        <v>460</v>
      </c>
      <c r="C905" s="14" t="s">
        <v>141</v>
      </c>
      <c r="D905" s="14" t="s">
        <v>39</v>
      </c>
      <c r="E905" s="14" t="s">
        <v>58</v>
      </c>
      <c r="F905" s="14" t="s">
        <v>43</v>
      </c>
      <c r="G905" s="14" t="s">
        <v>72</v>
      </c>
      <c r="H905" s="14">
        <v>6</v>
      </c>
      <c r="I905" s="2">
        <v>1820</v>
      </c>
      <c r="J905" s="3">
        <v>0</v>
      </c>
      <c r="K905" s="2">
        <v>10920</v>
      </c>
      <c r="L905" s="2">
        <v>6879</v>
      </c>
      <c r="M905" s="2">
        <v>4041</v>
      </c>
      <c r="N905" s="14" t="s">
        <v>38</v>
      </c>
      <c r="O905" s="14">
        <v>1</v>
      </c>
      <c r="V905" s="2"/>
    </row>
    <row r="906" spans="1:22">
      <c r="A906">
        <v>10965</v>
      </c>
      <c r="B906" s="7" t="s">
        <v>312</v>
      </c>
      <c r="C906" s="14" t="s">
        <v>135</v>
      </c>
      <c r="D906" s="14" t="s">
        <v>42</v>
      </c>
      <c r="E906" s="14" t="s">
        <v>61</v>
      </c>
      <c r="F906" s="14" t="s">
        <v>46</v>
      </c>
      <c r="G906" s="14" t="s">
        <v>72</v>
      </c>
      <c r="H906" s="14">
        <v>2</v>
      </c>
      <c r="I906" s="2">
        <v>1030</v>
      </c>
      <c r="J906" s="3">
        <v>10</v>
      </c>
      <c r="K906" s="2">
        <v>1854</v>
      </c>
      <c r="L906" s="2">
        <v>1501</v>
      </c>
      <c r="M906" s="2">
        <v>353</v>
      </c>
      <c r="N906" s="14" t="s">
        <v>38</v>
      </c>
      <c r="O906" s="14">
        <v>5</v>
      </c>
      <c r="V906" s="2"/>
    </row>
    <row r="907" spans="1:22">
      <c r="A907">
        <v>10966</v>
      </c>
      <c r="B907" s="7" t="s">
        <v>519</v>
      </c>
      <c r="C907" s="14" t="s">
        <v>125</v>
      </c>
      <c r="D907" s="14" t="s">
        <v>39</v>
      </c>
      <c r="E907" s="14" t="s">
        <v>58</v>
      </c>
      <c r="F907" s="14" t="s">
        <v>40</v>
      </c>
      <c r="G907" s="14" t="s">
        <v>63</v>
      </c>
      <c r="H907" s="14">
        <v>6</v>
      </c>
      <c r="I907" s="2">
        <v>1080</v>
      </c>
      <c r="J907" s="3">
        <v>10</v>
      </c>
      <c r="K907" s="2">
        <v>5832</v>
      </c>
      <c r="L907" s="2">
        <v>3615</v>
      </c>
      <c r="M907" s="2">
        <v>2217</v>
      </c>
      <c r="N907" s="14" t="s">
        <v>41</v>
      </c>
      <c r="O907" s="14">
        <v>2</v>
      </c>
      <c r="V907" s="2"/>
    </row>
    <row r="908" spans="1:22">
      <c r="A908">
        <v>10967</v>
      </c>
      <c r="B908" s="7" t="s">
        <v>566</v>
      </c>
      <c r="C908" s="14" t="s">
        <v>116</v>
      </c>
      <c r="D908" s="14" t="s">
        <v>36</v>
      </c>
      <c r="E908" s="14" t="s">
        <v>61</v>
      </c>
      <c r="F908" s="14" t="s">
        <v>143</v>
      </c>
      <c r="G908" s="14" t="s">
        <v>63</v>
      </c>
      <c r="H908" s="14">
        <v>8</v>
      </c>
      <c r="I908" s="2">
        <v>1260</v>
      </c>
      <c r="J908" s="3">
        <v>5</v>
      </c>
      <c r="K908" s="2">
        <v>9576</v>
      </c>
      <c r="L908" s="2">
        <v>6320</v>
      </c>
      <c r="M908" s="2">
        <v>3256</v>
      </c>
      <c r="N908" s="14" t="s">
        <v>44</v>
      </c>
      <c r="O908" s="14">
        <v>3</v>
      </c>
      <c r="V908" s="2"/>
    </row>
    <row r="909" spans="1:22">
      <c r="A909">
        <v>10968</v>
      </c>
      <c r="B909" s="7" t="s">
        <v>246</v>
      </c>
      <c r="C909" s="14" t="s">
        <v>147</v>
      </c>
      <c r="D909" s="14" t="s">
        <v>39</v>
      </c>
      <c r="E909" s="14" t="s">
        <v>58</v>
      </c>
      <c r="F909" s="14" t="s">
        <v>43</v>
      </c>
      <c r="G909" s="14" t="s">
        <v>74</v>
      </c>
      <c r="H909" s="14">
        <v>14</v>
      </c>
      <c r="I909" s="2">
        <v>1010</v>
      </c>
      <c r="J909" s="3">
        <v>15</v>
      </c>
      <c r="K909" s="2">
        <v>12019</v>
      </c>
      <c r="L909" s="2">
        <v>6850</v>
      </c>
      <c r="M909" s="2">
        <v>5169</v>
      </c>
      <c r="N909" s="14" t="s">
        <v>38</v>
      </c>
      <c r="O909" s="14">
        <v>2</v>
      </c>
      <c r="V909" s="2"/>
    </row>
    <row r="910" spans="1:22">
      <c r="A910">
        <v>10969</v>
      </c>
      <c r="B910" s="7" t="s">
        <v>567</v>
      </c>
      <c r="C910" s="14" t="s">
        <v>116</v>
      </c>
      <c r="D910" s="14" t="s">
        <v>45</v>
      </c>
      <c r="E910" s="14" t="s">
        <v>58</v>
      </c>
      <c r="F910" s="14" t="s">
        <v>43</v>
      </c>
      <c r="G910" s="14" t="s">
        <v>70</v>
      </c>
      <c r="H910" s="14">
        <v>13</v>
      </c>
      <c r="I910" s="2">
        <v>1270</v>
      </c>
      <c r="J910" s="3">
        <v>10</v>
      </c>
      <c r="K910" s="2">
        <v>14859</v>
      </c>
      <c r="L910" s="2">
        <v>10549</v>
      </c>
      <c r="M910" s="2">
        <v>4310</v>
      </c>
      <c r="N910" s="14" t="s">
        <v>47</v>
      </c>
      <c r="O910" s="14">
        <v>4</v>
      </c>
      <c r="V910" s="2"/>
    </row>
    <row r="911" spans="1:22">
      <c r="A911">
        <v>10970</v>
      </c>
      <c r="B911" s="7" t="s">
        <v>343</v>
      </c>
      <c r="C911" s="14" t="s">
        <v>120</v>
      </c>
      <c r="D911" s="14" t="s">
        <v>39</v>
      </c>
      <c r="E911" s="14" t="s">
        <v>61</v>
      </c>
      <c r="F911" s="14" t="s">
        <v>51</v>
      </c>
      <c r="G911" s="14" t="s">
        <v>72</v>
      </c>
      <c r="H911" s="14">
        <v>3</v>
      </c>
      <c r="I911" s="2">
        <v>760</v>
      </c>
      <c r="J911" s="3">
        <v>5</v>
      </c>
      <c r="K911" s="2">
        <v>2166</v>
      </c>
      <c r="L911" s="2">
        <v>1277</v>
      </c>
      <c r="M911" s="2">
        <v>889</v>
      </c>
      <c r="N911" s="14" t="s">
        <v>44</v>
      </c>
      <c r="O911" s="14">
        <v>2</v>
      </c>
      <c r="V911" s="2"/>
    </row>
    <row r="912" spans="1:22">
      <c r="A912">
        <v>10971</v>
      </c>
      <c r="B912" s="7" t="s">
        <v>338</v>
      </c>
      <c r="C912" s="14" t="s">
        <v>141</v>
      </c>
      <c r="D912" s="14" t="s">
        <v>39</v>
      </c>
      <c r="E912" s="14" t="s">
        <v>56</v>
      </c>
      <c r="F912" s="14" t="s">
        <v>150</v>
      </c>
      <c r="G912" s="14" t="s">
        <v>72</v>
      </c>
      <c r="H912" s="14">
        <v>4</v>
      </c>
      <c r="I912" s="2">
        <v>1530</v>
      </c>
      <c r="J912" s="3">
        <v>15</v>
      </c>
      <c r="K912" s="2">
        <v>5202</v>
      </c>
      <c r="L912" s="2">
        <v>3017</v>
      </c>
      <c r="M912" s="2">
        <v>2185</v>
      </c>
      <c r="N912" s="14" t="s">
        <v>47</v>
      </c>
      <c r="O912" s="14">
        <v>3</v>
      </c>
      <c r="V912" s="2"/>
    </row>
    <row r="913" spans="1:22">
      <c r="A913">
        <v>10972</v>
      </c>
      <c r="B913" s="7" t="s">
        <v>568</v>
      </c>
      <c r="C913" s="14" t="s">
        <v>111</v>
      </c>
      <c r="D913" s="14" t="s">
        <v>45</v>
      </c>
      <c r="E913" s="14" t="s">
        <v>61</v>
      </c>
      <c r="F913" s="14" t="s">
        <v>52</v>
      </c>
      <c r="G913" s="14" t="s">
        <v>72</v>
      </c>
      <c r="H913" s="14">
        <v>13</v>
      </c>
      <c r="I913" s="2">
        <v>770</v>
      </c>
      <c r="J913" s="3">
        <v>5</v>
      </c>
      <c r="K913" s="2">
        <v>9509.5</v>
      </c>
      <c r="L913" s="2">
        <v>6751</v>
      </c>
      <c r="M913" s="2">
        <v>2758.5</v>
      </c>
      <c r="N913" s="14" t="s">
        <v>44</v>
      </c>
      <c r="O913" s="14">
        <v>3</v>
      </c>
      <c r="V913" s="2"/>
    </row>
    <row r="914" spans="1:22">
      <c r="A914">
        <v>10973</v>
      </c>
      <c r="B914" s="7" t="s">
        <v>371</v>
      </c>
      <c r="C914" s="14" t="s">
        <v>125</v>
      </c>
      <c r="D914" s="14" t="s">
        <v>39</v>
      </c>
      <c r="E914" s="14" t="s">
        <v>58</v>
      </c>
      <c r="F914" s="14" t="s">
        <v>37</v>
      </c>
      <c r="G914" s="14" t="s">
        <v>66</v>
      </c>
      <c r="H914" s="14">
        <v>12</v>
      </c>
      <c r="I914" s="2">
        <v>970</v>
      </c>
      <c r="J914" s="3">
        <v>20</v>
      </c>
      <c r="K914" s="2">
        <v>9312</v>
      </c>
      <c r="L914" s="2">
        <v>5959</v>
      </c>
      <c r="M914" s="2">
        <v>3353</v>
      </c>
      <c r="N914" s="14" t="s">
        <v>38</v>
      </c>
      <c r="O914" s="14">
        <v>2</v>
      </c>
      <c r="V914" s="2"/>
    </row>
    <row r="915" spans="1:22">
      <c r="A915">
        <v>10974</v>
      </c>
      <c r="B915" s="7" t="s">
        <v>194</v>
      </c>
      <c r="C915" s="14" t="s">
        <v>135</v>
      </c>
      <c r="D915" s="14" t="s">
        <v>39</v>
      </c>
      <c r="E915" s="14" t="s">
        <v>58</v>
      </c>
      <c r="F915" s="14" t="s">
        <v>55</v>
      </c>
      <c r="G915" s="14" t="s">
        <v>74</v>
      </c>
      <c r="H915" s="14">
        <v>6</v>
      </c>
      <c r="I915" s="2">
        <v>990</v>
      </c>
      <c r="J915" s="3">
        <v>20</v>
      </c>
      <c r="K915" s="2">
        <v>4752</v>
      </c>
      <c r="L915" s="2">
        <v>3706</v>
      </c>
      <c r="M915" s="2">
        <v>1046</v>
      </c>
      <c r="N915" s="14" t="s">
        <v>41</v>
      </c>
      <c r="O915" s="14">
        <v>3</v>
      </c>
      <c r="V915" s="2"/>
    </row>
    <row r="916" spans="1:22">
      <c r="A916">
        <v>10975</v>
      </c>
      <c r="B916" s="7" t="s">
        <v>569</v>
      </c>
      <c r="C916" s="14" t="s">
        <v>130</v>
      </c>
      <c r="D916" s="14" t="s">
        <v>45</v>
      </c>
      <c r="E916" s="14" t="s">
        <v>56</v>
      </c>
      <c r="F916" s="14" t="s">
        <v>131</v>
      </c>
      <c r="G916" s="14" t="s">
        <v>68</v>
      </c>
      <c r="H916" s="14">
        <v>2</v>
      </c>
      <c r="I916" s="2">
        <v>590</v>
      </c>
      <c r="J916" s="3">
        <v>15</v>
      </c>
      <c r="K916" s="2">
        <v>1003</v>
      </c>
      <c r="L916" s="2">
        <v>842</v>
      </c>
      <c r="M916" s="2">
        <v>161</v>
      </c>
      <c r="N916" s="14" t="s">
        <v>38</v>
      </c>
      <c r="O916" s="14">
        <v>2</v>
      </c>
      <c r="V916" s="2"/>
    </row>
    <row r="917" spans="1:22">
      <c r="A917">
        <v>10976</v>
      </c>
      <c r="B917" s="7" t="s">
        <v>492</v>
      </c>
      <c r="C917" s="14" t="s">
        <v>120</v>
      </c>
      <c r="D917" s="14" t="s">
        <v>39</v>
      </c>
      <c r="E917" s="14" t="s">
        <v>58</v>
      </c>
      <c r="F917" s="14" t="s">
        <v>43</v>
      </c>
      <c r="G917" s="14" t="s">
        <v>70</v>
      </c>
      <c r="H917" s="14">
        <v>5</v>
      </c>
      <c r="I917" s="2">
        <v>390</v>
      </c>
      <c r="J917" s="3">
        <v>0</v>
      </c>
      <c r="K917" s="2">
        <v>1950</v>
      </c>
      <c r="L917" s="2">
        <v>1599</v>
      </c>
      <c r="M917" s="2">
        <v>351</v>
      </c>
      <c r="N917" s="14" t="s">
        <v>47</v>
      </c>
      <c r="O917" s="14">
        <v>1</v>
      </c>
      <c r="V917" s="2"/>
    </row>
    <row r="918" spans="1:22">
      <c r="A918">
        <v>10977</v>
      </c>
      <c r="B918" s="7" t="s">
        <v>570</v>
      </c>
      <c r="C918" s="14" t="s">
        <v>128</v>
      </c>
      <c r="D918" s="14" t="s">
        <v>42</v>
      </c>
      <c r="E918" s="14" t="s">
        <v>61</v>
      </c>
      <c r="F918" s="14" t="s">
        <v>52</v>
      </c>
      <c r="G918" s="14" t="s">
        <v>64</v>
      </c>
      <c r="H918" s="14">
        <v>13</v>
      </c>
      <c r="I918" s="2">
        <v>210</v>
      </c>
      <c r="J918" s="3">
        <v>0</v>
      </c>
      <c r="K918" s="2">
        <v>2730</v>
      </c>
      <c r="L918" s="2">
        <v>2293</v>
      </c>
      <c r="M918" s="2">
        <v>437</v>
      </c>
      <c r="N918" s="14" t="s">
        <v>44</v>
      </c>
      <c r="O918" s="14">
        <v>1</v>
      </c>
      <c r="V918" s="2"/>
    </row>
    <row r="919" spans="1:22">
      <c r="A919">
        <v>10978</v>
      </c>
      <c r="B919" s="7" t="s">
        <v>255</v>
      </c>
      <c r="C919" s="14" t="s">
        <v>116</v>
      </c>
      <c r="D919" s="14" t="s">
        <v>45</v>
      </c>
      <c r="E919" s="14" t="s">
        <v>58</v>
      </c>
      <c r="F919" s="14" t="s">
        <v>55</v>
      </c>
      <c r="G919" s="14" t="s">
        <v>70</v>
      </c>
      <c r="H919" s="14">
        <v>1</v>
      </c>
      <c r="I919" s="2">
        <v>1070</v>
      </c>
      <c r="J919" s="3">
        <v>15</v>
      </c>
      <c r="K919" s="2">
        <v>909.5</v>
      </c>
      <c r="L919" s="2">
        <v>582</v>
      </c>
      <c r="M919" s="2">
        <v>327.5</v>
      </c>
      <c r="N919" s="14" t="s">
        <v>38</v>
      </c>
      <c r="O919" s="14">
        <v>1</v>
      </c>
      <c r="V919" s="2"/>
    </row>
    <row r="920" spans="1:22">
      <c r="A920">
        <v>10979</v>
      </c>
      <c r="B920" s="7" t="s">
        <v>306</v>
      </c>
      <c r="C920" s="14" t="s">
        <v>120</v>
      </c>
      <c r="D920" s="14" t="s">
        <v>36</v>
      </c>
      <c r="E920" s="14" t="s">
        <v>56</v>
      </c>
      <c r="F920" s="14" t="s">
        <v>49</v>
      </c>
      <c r="G920" s="14" t="s">
        <v>70</v>
      </c>
      <c r="H920" s="14">
        <v>15</v>
      </c>
      <c r="I920" s="2">
        <v>1990</v>
      </c>
      <c r="J920" s="3">
        <v>0</v>
      </c>
      <c r="K920" s="2">
        <v>29850</v>
      </c>
      <c r="L920" s="2">
        <v>23581</v>
      </c>
      <c r="M920" s="2">
        <v>6269</v>
      </c>
      <c r="N920" s="14" t="s">
        <v>38</v>
      </c>
      <c r="O920" s="14">
        <v>4</v>
      </c>
      <c r="V920" s="2"/>
    </row>
    <row r="921" spans="1:22">
      <c r="A921">
        <v>10980</v>
      </c>
      <c r="B921" s="7" t="s">
        <v>515</v>
      </c>
      <c r="C921" s="14" t="s">
        <v>125</v>
      </c>
      <c r="D921" s="14" t="s">
        <v>39</v>
      </c>
      <c r="E921" s="14" t="s">
        <v>58</v>
      </c>
      <c r="F921" s="14" t="s">
        <v>40</v>
      </c>
      <c r="G921" s="14" t="s">
        <v>68</v>
      </c>
      <c r="H921" s="14">
        <v>8</v>
      </c>
      <c r="I921" s="2">
        <v>740</v>
      </c>
      <c r="J921" s="3">
        <v>20</v>
      </c>
      <c r="K921" s="2">
        <v>4736</v>
      </c>
      <c r="L921" s="2">
        <v>4025</v>
      </c>
      <c r="M921" s="2">
        <v>711</v>
      </c>
      <c r="N921" s="14" t="s">
        <v>41</v>
      </c>
      <c r="O921" s="14">
        <v>3</v>
      </c>
      <c r="V921" s="2"/>
    </row>
    <row r="922" spans="1:22">
      <c r="A922">
        <v>10981</v>
      </c>
      <c r="B922" s="7" t="s">
        <v>571</v>
      </c>
      <c r="C922" s="14" t="s">
        <v>125</v>
      </c>
      <c r="D922" s="14" t="s">
        <v>45</v>
      </c>
      <c r="E922" s="14" t="s">
        <v>61</v>
      </c>
      <c r="F922" s="14" t="s">
        <v>51</v>
      </c>
      <c r="G922" s="14" t="s">
        <v>74</v>
      </c>
      <c r="H922" s="14">
        <v>13</v>
      </c>
      <c r="I922" s="2">
        <v>300</v>
      </c>
      <c r="J922" s="3">
        <v>20</v>
      </c>
      <c r="K922" s="2">
        <v>3120</v>
      </c>
      <c r="L922" s="2">
        <v>2090</v>
      </c>
      <c r="M922" s="2">
        <v>1030</v>
      </c>
      <c r="N922" s="14" t="s">
        <v>41</v>
      </c>
      <c r="O922" s="14">
        <v>3</v>
      </c>
      <c r="V922" s="2"/>
    </row>
    <row r="923" spans="1:22">
      <c r="A923">
        <v>10982</v>
      </c>
      <c r="B923" s="7" t="s">
        <v>297</v>
      </c>
      <c r="C923" s="14" t="s">
        <v>135</v>
      </c>
      <c r="D923" s="14" t="s">
        <v>39</v>
      </c>
      <c r="E923" s="14" t="s">
        <v>56</v>
      </c>
      <c r="F923" s="14" t="s">
        <v>50</v>
      </c>
      <c r="G923" s="14" t="s">
        <v>63</v>
      </c>
      <c r="H923" s="14">
        <v>7</v>
      </c>
      <c r="I923" s="2">
        <v>800</v>
      </c>
      <c r="J923" s="3">
        <v>20</v>
      </c>
      <c r="K923" s="2">
        <v>4480</v>
      </c>
      <c r="L923" s="2">
        <v>3404</v>
      </c>
      <c r="M923" s="2">
        <v>1076</v>
      </c>
      <c r="N923" s="14" t="s">
        <v>47</v>
      </c>
      <c r="O923" s="14">
        <v>4</v>
      </c>
      <c r="V923" s="2"/>
    </row>
    <row r="924" spans="1:22">
      <c r="A924">
        <v>10983</v>
      </c>
      <c r="B924" s="7" t="s">
        <v>374</v>
      </c>
      <c r="C924" s="14" t="s">
        <v>120</v>
      </c>
      <c r="D924" s="14" t="s">
        <v>42</v>
      </c>
      <c r="E924" s="14" t="s">
        <v>58</v>
      </c>
      <c r="F924" s="14" t="s">
        <v>55</v>
      </c>
      <c r="G924" s="14" t="s">
        <v>74</v>
      </c>
      <c r="H924" s="14">
        <v>12</v>
      </c>
      <c r="I924" s="2">
        <v>1010</v>
      </c>
      <c r="J924" s="3">
        <v>5</v>
      </c>
      <c r="K924" s="2">
        <v>11514</v>
      </c>
      <c r="L924" s="2">
        <v>7253</v>
      </c>
      <c r="M924" s="2">
        <v>4261</v>
      </c>
      <c r="N924" s="14" t="s">
        <v>47</v>
      </c>
      <c r="O924" s="14">
        <v>5</v>
      </c>
      <c r="V924" s="2"/>
    </row>
    <row r="925" spans="1:22">
      <c r="A925">
        <v>10984</v>
      </c>
      <c r="B925" s="7" t="s">
        <v>520</v>
      </c>
      <c r="C925" s="14" t="s">
        <v>137</v>
      </c>
      <c r="D925" s="14" t="s">
        <v>39</v>
      </c>
      <c r="E925" s="14" t="s">
        <v>61</v>
      </c>
      <c r="F925" s="14" t="s">
        <v>52</v>
      </c>
      <c r="G925" s="14" t="s">
        <v>66</v>
      </c>
      <c r="H925" s="14">
        <v>15</v>
      </c>
      <c r="I925" s="2">
        <v>1550</v>
      </c>
      <c r="J925" s="3">
        <v>15</v>
      </c>
      <c r="K925" s="2">
        <v>19762.5</v>
      </c>
      <c r="L925" s="2">
        <v>11067</v>
      </c>
      <c r="M925" s="2">
        <v>8695.5</v>
      </c>
      <c r="N925" s="14" t="s">
        <v>44</v>
      </c>
      <c r="O925" s="14">
        <v>3</v>
      </c>
      <c r="V925" s="2"/>
    </row>
    <row r="926" spans="1:22">
      <c r="A926">
        <v>10985</v>
      </c>
      <c r="B926" s="7" t="s">
        <v>397</v>
      </c>
      <c r="C926" s="14" t="s">
        <v>137</v>
      </c>
      <c r="D926" s="14" t="s">
        <v>45</v>
      </c>
      <c r="E926" s="14" t="s">
        <v>56</v>
      </c>
      <c r="F926" s="14" t="s">
        <v>150</v>
      </c>
      <c r="G926" s="14" t="s">
        <v>68</v>
      </c>
      <c r="H926" s="14">
        <v>11</v>
      </c>
      <c r="I926" s="2">
        <v>290</v>
      </c>
      <c r="J926" s="3">
        <v>15</v>
      </c>
      <c r="K926" s="2">
        <v>2711.5</v>
      </c>
      <c r="L926" s="2">
        <v>2169</v>
      </c>
      <c r="M926" s="2">
        <v>542.5</v>
      </c>
      <c r="N926" s="14" t="s">
        <v>38</v>
      </c>
      <c r="O926" s="14">
        <v>3</v>
      </c>
      <c r="V926" s="2"/>
    </row>
    <row r="927" spans="1:22">
      <c r="A927">
        <v>10986</v>
      </c>
      <c r="B927" s="7" t="s">
        <v>352</v>
      </c>
      <c r="C927" s="14" t="s">
        <v>141</v>
      </c>
      <c r="D927" s="14" t="s">
        <v>39</v>
      </c>
      <c r="E927" s="14" t="s">
        <v>56</v>
      </c>
      <c r="F927" s="14" t="s">
        <v>150</v>
      </c>
      <c r="G927" s="14" t="s">
        <v>70</v>
      </c>
      <c r="H927" s="14">
        <v>15</v>
      </c>
      <c r="I927" s="2">
        <v>1130</v>
      </c>
      <c r="J927" s="3">
        <v>20</v>
      </c>
      <c r="K927" s="2">
        <v>13560</v>
      </c>
      <c r="L927" s="2">
        <v>8000</v>
      </c>
      <c r="M927" s="2">
        <v>5560</v>
      </c>
      <c r="N927" s="14" t="s">
        <v>47</v>
      </c>
      <c r="O927" s="14">
        <v>1</v>
      </c>
      <c r="V927" s="2"/>
    </row>
    <row r="928" spans="1:22">
      <c r="A928">
        <v>10987</v>
      </c>
      <c r="B928" s="7" t="s">
        <v>572</v>
      </c>
      <c r="C928" s="14" t="s">
        <v>111</v>
      </c>
      <c r="D928" s="14" t="s">
        <v>39</v>
      </c>
      <c r="E928" s="14" t="s">
        <v>61</v>
      </c>
      <c r="F928" s="14" t="s">
        <v>117</v>
      </c>
      <c r="G928" s="14" t="s">
        <v>72</v>
      </c>
      <c r="H928" s="14">
        <v>12</v>
      </c>
      <c r="I928" s="2">
        <v>540</v>
      </c>
      <c r="J928" s="3">
        <v>5</v>
      </c>
      <c r="K928" s="2">
        <v>6156</v>
      </c>
      <c r="L928" s="2">
        <v>4124</v>
      </c>
      <c r="M928" s="2">
        <v>2032</v>
      </c>
      <c r="N928" s="14" t="s">
        <v>41</v>
      </c>
      <c r="O928" s="14">
        <v>5</v>
      </c>
      <c r="V928" s="2"/>
    </row>
    <row r="929" spans="1:22">
      <c r="A929">
        <v>10988</v>
      </c>
      <c r="B929" s="7" t="s">
        <v>268</v>
      </c>
      <c r="C929" s="14" t="s">
        <v>141</v>
      </c>
      <c r="D929" s="14" t="s">
        <v>36</v>
      </c>
      <c r="E929" s="14" t="s">
        <v>56</v>
      </c>
      <c r="F929" s="14" t="s">
        <v>150</v>
      </c>
      <c r="G929" s="14" t="s">
        <v>68</v>
      </c>
      <c r="H929" s="14">
        <v>4</v>
      </c>
      <c r="I929" s="2">
        <v>210</v>
      </c>
      <c r="J929" s="3">
        <v>5</v>
      </c>
      <c r="K929" s="2">
        <v>798</v>
      </c>
      <c r="L929" s="2">
        <v>486</v>
      </c>
      <c r="M929" s="2">
        <v>312</v>
      </c>
      <c r="N929" s="14" t="s">
        <v>38</v>
      </c>
      <c r="O929" s="14">
        <v>1</v>
      </c>
      <c r="V929" s="2"/>
    </row>
    <row r="930" spans="1:22">
      <c r="A930">
        <v>10989</v>
      </c>
      <c r="B930" s="7" t="s">
        <v>207</v>
      </c>
      <c r="C930" s="14" t="s">
        <v>125</v>
      </c>
      <c r="D930" s="14" t="s">
        <v>39</v>
      </c>
      <c r="E930" s="14" t="s">
        <v>56</v>
      </c>
      <c r="F930" s="14" t="s">
        <v>150</v>
      </c>
      <c r="G930" s="14" t="s">
        <v>70</v>
      </c>
      <c r="H930" s="14">
        <v>7</v>
      </c>
      <c r="I930" s="2">
        <v>800</v>
      </c>
      <c r="J930" s="3">
        <v>5</v>
      </c>
      <c r="K930" s="2">
        <v>5320</v>
      </c>
      <c r="L930" s="2">
        <v>3458</v>
      </c>
      <c r="M930" s="2">
        <v>1862</v>
      </c>
      <c r="N930" s="14" t="s">
        <v>38</v>
      </c>
      <c r="O930" s="14">
        <v>2</v>
      </c>
      <c r="V930" s="2"/>
    </row>
    <row r="931" spans="1:22">
      <c r="A931">
        <v>10990</v>
      </c>
      <c r="B931" s="7" t="s">
        <v>171</v>
      </c>
      <c r="C931" s="14" t="s">
        <v>111</v>
      </c>
      <c r="D931" s="14" t="s">
        <v>39</v>
      </c>
      <c r="E931" s="14" t="s">
        <v>58</v>
      </c>
      <c r="F931" s="14" t="s">
        <v>43</v>
      </c>
      <c r="G931" s="14" t="s">
        <v>66</v>
      </c>
      <c r="H931" s="14">
        <v>3</v>
      </c>
      <c r="I931" s="2">
        <v>950</v>
      </c>
      <c r="J931" s="3">
        <v>5</v>
      </c>
      <c r="K931" s="2">
        <v>2707.5</v>
      </c>
      <c r="L931" s="2">
        <v>1922</v>
      </c>
      <c r="M931" s="2">
        <v>785.5</v>
      </c>
      <c r="N931" s="14" t="s">
        <v>44</v>
      </c>
      <c r="O931" s="14">
        <v>5</v>
      </c>
      <c r="V931" s="2"/>
    </row>
    <row r="932" spans="1:22">
      <c r="A932">
        <v>10991</v>
      </c>
      <c r="B932" s="7" t="s">
        <v>233</v>
      </c>
      <c r="C932" s="14" t="s">
        <v>125</v>
      </c>
      <c r="D932" s="14" t="s">
        <v>39</v>
      </c>
      <c r="E932" s="14" t="s">
        <v>58</v>
      </c>
      <c r="F932" s="14" t="s">
        <v>55</v>
      </c>
      <c r="G932" s="14" t="s">
        <v>64</v>
      </c>
      <c r="H932" s="14">
        <v>14</v>
      </c>
      <c r="I932" s="2">
        <v>930</v>
      </c>
      <c r="J932" s="3">
        <v>5</v>
      </c>
      <c r="K932" s="2">
        <v>12369</v>
      </c>
      <c r="L932" s="2">
        <v>9276</v>
      </c>
      <c r="M932" s="2">
        <v>3093</v>
      </c>
      <c r="N932" s="14" t="s">
        <v>44</v>
      </c>
      <c r="O932" s="14">
        <v>4</v>
      </c>
      <c r="V932" s="2"/>
    </row>
    <row r="933" spans="1:22">
      <c r="A933">
        <v>10992</v>
      </c>
      <c r="B933" s="7" t="s">
        <v>227</v>
      </c>
      <c r="C933" s="14" t="s">
        <v>147</v>
      </c>
      <c r="D933" s="14" t="s">
        <v>45</v>
      </c>
      <c r="E933" s="14" t="s">
        <v>61</v>
      </c>
      <c r="F933" s="14" t="s">
        <v>117</v>
      </c>
      <c r="G933" s="14" t="s">
        <v>66</v>
      </c>
      <c r="H933" s="14">
        <v>8</v>
      </c>
      <c r="I933" s="2">
        <v>1290</v>
      </c>
      <c r="J933" s="3">
        <v>0</v>
      </c>
      <c r="K933" s="2">
        <v>10320</v>
      </c>
      <c r="L933" s="2">
        <v>7843</v>
      </c>
      <c r="M933" s="2">
        <v>2477</v>
      </c>
      <c r="N933" s="14" t="s">
        <v>41</v>
      </c>
      <c r="O933" s="14">
        <v>1</v>
      </c>
      <c r="V933" s="2"/>
    </row>
    <row r="934" spans="1:22">
      <c r="A934">
        <v>10993</v>
      </c>
      <c r="B934" s="7" t="s">
        <v>573</v>
      </c>
      <c r="C934" s="14" t="s">
        <v>137</v>
      </c>
      <c r="D934" s="14" t="s">
        <v>42</v>
      </c>
      <c r="E934" s="14" t="s">
        <v>61</v>
      </c>
      <c r="F934" s="14" t="s">
        <v>52</v>
      </c>
      <c r="G934" s="14" t="s">
        <v>72</v>
      </c>
      <c r="H934" s="14">
        <v>15</v>
      </c>
      <c r="I934" s="2">
        <v>1100</v>
      </c>
      <c r="J934" s="3">
        <v>5</v>
      </c>
      <c r="K934" s="2">
        <v>15675</v>
      </c>
      <c r="L934" s="2">
        <v>12540</v>
      </c>
      <c r="M934" s="2">
        <v>3135</v>
      </c>
      <c r="N934" s="14" t="s">
        <v>47</v>
      </c>
      <c r="O934" s="14">
        <v>5</v>
      </c>
      <c r="V934" s="2"/>
    </row>
    <row r="935" spans="1:22">
      <c r="A935">
        <v>10994</v>
      </c>
      <c r="B935" s="7" t="s">
        <v>574</v>
      </c>
      <c r="C935" s="14" t="s">
        <v>128</v>
      </c>
      <c r="D935" s="14" t="s">
        <v>39</v>
      </c>
      <c r="E935" s="14" t="s">
        <v>58</v>
      </c>
      <c r="F935" s="14" t="s">
        <v>43</v>
      </c>
      <c r="G935" s="14" t="s">
        <v>72</v>
      </c>
      <c r="H935" s="14">
        <v>13</v>
      </c>
      <c r="I935" s="2">
        <v>1630</v>
      </c>
      <c r="J935" s="3">
        <v>20</v>
      </c>
      <c r="K935" s="2">
        <v>16952</v>
      </c>
      <c r="L935" s="2">
        <v>12544</v>
      </c>
      <c r="M935" s="2">
        <v>4408</v>
      </c>
      <c r="N935" s="14" t="s">
        <v>38</v>
      </c>
      <c r="O935" s="14">
        <v>3</v>
      </c>
      <c r="V935" s="2"/>
    </row>
    <row r="936" spans="1:22">
      <c r="A936">
        <v>10995</v>
      </c>
      <c r="B936" s="7" t="s">
        <v>210</v>
      </c>
      <c r="C936" s="14" t="s">
        <v>137</v>
      </c>
      <c r="D936" s="14" t="s">
        <v>45</v>
      </c>
      <c r="E936" s="14" t="s">
        <v>56</v>
      </c>
      <c r="F936" s="14" t="s">
        <v>57</v>
      </c>
      <c r="G936" s="14" t="s">
        <v>63</v>
      </c>
      <c r="H936" s="14">
        <v>15</v>
      </c>
      <c r="I936" s="2">
        <v>1000</v>
      </c>
      <c r="J936" s="3">
        <v>20</v>
      </c>
      <c r="K936" s="2">
        <v>12000</v>
      </c>
      <c r="L936" s="2">
        <v>9840</v>
      </c>
      <c r="M936" s="2">
        <v>2160</v>
      </c>
      <c r="N936" s="14" t="s">
        <v>38</v>
      </c>
      <c r="O936" s="14">
        <v>1</v>
      </c>
      <c r="V936" s="2"/>
    </row>
    <row r="937" spans="1:22">
      <c r="A937">
        <v>10996</v>
      </c>
      <c r="B937" s="7" t="s">
        <v>376</v>
      </c>
      <c r="C937" s="14" t="s">
        <v>141</v>
      </c>
      <c r="D937" s="14" t="s">
        <v>45</v>
      </c>
      <c r="E937" s="14" t="s">
        <v>58</v>
      </c>
      <c r="F937" s="14" t="s">
        <v>55</v>
      </c>
      <c r="G937" s="14" t="s">
        <v>63</v>
      </c>
      <c r="H937" s="14">
        <v>7</v>
      </c>
      <c r="I937" s="2">
        <v>880</v>
      </c>
      <c r="J937" s="3">
        <v>0</v>
      </c>
      <c r="K937" s="2">
        <v>6160</v>
      </c>
      <c r="L937" s="2">
        <v>3942</v>
      </c>
      <c r="M937" s="2">
        <v>2218</v>
      </c>
      <c r="N937" s="14" t="s">
        <v>38</v>
      </c>
      <c r="O937" s="14">
        <v>1</v>
      </c>
      <c r="V937" s="2"/>
    </row>
    <row r="938" spans="1:22">
      <c r="A938">
        <v>10997</v>
      </c>
      <c r="B938" s="7" t="s">
        <v>498</v>
      </c>
      <c r="C938" s="14" t="s">
        <v>120</v>
      </c>
      <c r="D938" s="14" t="s">
        <v>45</v>
      </c>
      <c r="E938" s="14" t="s">
        <v>58</v>
      </c>
      <c r="F938" s="14" t="s">
        <v>40</v>
      </c>
      <c r="G938" s="14" t="s">
        <v>74</v>
      </c>
      <c r="H938" s="14">
        <v>5</v>
      </c>
      <c r="I938" s="2">
        <v>1700</v>
      </c>
      <c r="J938" s="3">
        <v>15</v>
      </c>
      <c r="K938" s="2">
        <v>7225</v>
      </c>
      <c r="L938" s="2">
        <v>4118</v>
      </c>
      <c r="M938" s="2">
        <v>3107</v>
      </c>
      <c r="N938" s="14" t="s">
        <v>38</v>
      </c>
      <c r="O938" s="14">
        <v>3</v>
      </c>
      <c r="V938" s="2"/>
    </row>
    <row r="939" spans="1:22">
      <c r="A939">
        <v>10998</v>
      </c>
      <c r="B939" s="7" t="s">
        <v>575</v>
      </c>
      <c r="C939" s="14" t="s">
        <v>111</v>
      </c>
      <c r="D939" s="14" t="s">
        <v>42</v>
      </c>
      <c r="E939" s="14" t="s">
        <v>58</v>
      </c>
      <c r="F939" s="14" t="s">
        <v>40</v>
      </c>
      <c r="G939" s="14" t="s">
        <v>66</v>
      </c>
      <c r="H939" s="14">
        <v>6</v>
      </c>
      <c r="I939" s="2">
        <v>1980</v>
      </c>
      <c r="J939" s="3">
        <v>15</v>
      </c>
      <c r="K939" s="2">
        <v>10098</v>
      </c>
      <c r="L939" s="2">
        <v>5654</v>
      </c>
      <c r="M939" s="2">
        <v>4444</v>
      </c>
      <c r="N939" s="14" t="s">
        <v>38</v>
      </c>
      <c r="O939" s="14">
        <v>5</v>
      </c>
      <c r="V939" s="2"/>
    </row>
    <row r="940" spans="1:22">
      <c r="A940">
        <v>10999</v>
      </c>
      <c r="B940" s="7" t="s">
        <v>67</v>
      </c>
      <c r="C940" s="14" t="s">
        <v>141</v>
      </c>
      <c r="D940" s="14" t="s">
        <v>45</v>
      </c>
      <c r="E940" s="14" t="s">
        <v>56</v>
      </c>
      <c r="F940" s="14" t="s">
        <v>50</v>
      </c>
      <c r="G940" s="14" t="s">
        <v>74</v>
      </c>
      <c r="H940" s="14">
        <v>6</v>
      </c>
      <c r="I940" s="2">
        <v>620</v>
      </c>
      <c r="J940" s="3">
        <v>20</v>
      </c>
      <c r="K940" s="2">
        <v>2976</v>
      </c>
      <c r="L940" s="2">
        <v>2529</v>
      </c>
      <c r="M940" s="2">
        <v>447</v>
      </c>
      <c r="N940" s="14" t="s">
        <v>47</v>
      </c>
      <c r="O940" s="14">
        <v>4</v>
      </c>
      <c r="V940" s="2"/>
    </row>
    <row r="941" spans="1:22">
      <c r="A941">
        <v>11000</v>
      </c>
      <c r="B941" s="7" t="s">
        <v>273</v>
      </c>
      <c r="C941" s="14" t="s">
        <v>120</v>
      </c>
      <c r="D941" s="14" t="s">
        <v>36</v>
      </c>
      <c r="E941" s="14" t="s">
        <v>56</v>
      </c>
      <c r="F941" s="14" t="s">
        <v>150</v>
      </c>
      <c r="G941" s="14" t="s">
        <v>70</v>
      </c>
      <c r="H941" s="14">
        <v>4</v>
      </c>
      <c r="I941" s="2">
        <v>780</v>
      </c>
      <c r="J941" s="3">
        <v>10</v>
      </c>
      <c r="K941" s="2">
        <v>2808</v>
      </c>
      <c r="L941" s="2">
        <v>2190</v>
      </c>
      <c r="M941" s="2">
        <v>618</v>
      </c>
      <c r="N941" s="14" t="s">
        <v>47</v>
      </c>
      <c r="O941" s="14">
        <v>3</v>
      </c>
      <c r="V941" s="2"/>
    </row>
    <row r="942" spans="1:22">
      <c r="A942">
        <v>11001</v>
      </c>
      <c r="B942" s="7" t="s">
        <v>556</v>
      </c>
      <c r="C942" s="14" t="s">
        <v>125</v>
      </c>
      <c r="D942" s="14" t="s">
        <v>36</v>
      </c>
      <c r="E942" s="14" t="s">
        <v>56</v>
      </c>
      <c r="F942" s="14" t="s">
        <v>49</v>
      </c>
      <c r="G942" s="14" t="s">
        <v>66</v>
      </c>
      <c r="H942" s="14">
        <v>3</v>
      </c>
      <c r="I942" s="2">
        <v>420</v>
      </c>
      <c r="J942" s="3">
        <v>5</v>
      </c>
      <c r="K942" s="2">
        <v>1197</v>
      </c>
      <c r="L942" s="2">
        <v>1017</v>
      </c>
      <c r="M942" s="2">
        <v>180</v>
      </c>
      <c r="N942" s="14" t="s">
        <v>38</v>
      </c>
      <c r="O942" s="14">
        <v>1</v>
      </c>
      <c r="V942" s="2"/>
    </row>
    <row r="943" spans="1:22">
      <c r="A943">
        <v>11002</v>
      </c>
      <c r="B943" s="7" t="s">
        <v>254</v>
      </c>
      <c r="C943" s="14" t="s">
        <v>130</v>
      </c>
      <c r="D943" s="14" t="s">
        <v>36</v>
      </c>
      <c r="E943" s="14" t="s">
        <v>61</v>
      </c>
      <c r="F943" s="14" t="s">
        <v>49</v>
      </c>
      <c r="G943" s="14" t="s">
        <v>68</v>
      </c>
      <c r="H943" s="14">
        <v>14</v>
      </c>
      <c r="I943" s="2">
        <v>630</v>
      </c>
      <c r="J943" s="3">
        <v>10</v>
      </c>
      <c r="K943" s="2">
        <v>8736</v>
      </c>
      <c r="L943" s="2">
        <v>1908</v>
      </c>
      <c r="M943" s="2">
        <v>5021.5</v>
      </c>
      <c r="N943" s="14" t="s">
        <v>38</v>
      </c>
      <c r="O943" s="14">
        <v>4</v>
      </c>
      <c r="V943" s="2"/>
    </row>
    <row r="944" spans="1:22">
      <c r="A944">
        <v>11003</v>
      </c>
      <c r="B944" s="7" t="s">
        <v>132</v>
      </c>
      <c r="C944" s="14" t="s">
        <v>111</v>
      </c>
      <c r="D944" s="14" t="s">
        <v>42</v>
      </c>
      <c r="E944" s="14" t="s">
        <v>61</v>
      </c>
      <c r="F944" s="14" t="s">
        <v>51</v>
      </c>
      <c r="G944" s="14" t="s">
        <v>74</v>
      </c>
      <c r="H944" s="14">
        <v>13</v>
      </c>
      <c r="I944" s="2">
        <v>650</v>
      </c>
      <c r="J944" s="3">
        <v>5</v>
      </c>
      <c r="K944" s="2">
        <v>16100</v>
      </c>
      <c r="L944" s="2">
        <v>1908</v>
      </c>
      <c r="M944" s="2">
        <v>1753</v>
      </c>
      <c r="N944" s="14" t="s">
        <v>44</v>
      </c>
      <c r="O944" s="14">
        <v>1</v>
      </c>
      <c r="V944" s="2"/>
    </row>
    <row r="945" spans="1:22">
      <c r="A945">
        <v>11004</v>
      </c>
      <c r="B945" s="7" t="s">
        <v>113</v>
      </c>
      <c r="C945" s="14" t="s">
        <v>125</v>
      </c>
      <c r="D945" s="14" t="s">
        <v>42</v>
      </c>
      <c r="E945" s="14" t="s">
        <v>56</v>
      </c>
      <c r="F945" s="14" t="s">
        <v>143</v>
      </c>
      <c r="G945" s="14" t="s">
        <v>68</v>
      </c>
      <c r="H945" s="14">
        <v>4</v>
      </c>
      <c r="I945" s="2">
        <v>1840</v>
      </c>
      <c r="J945" s="3">
        <v>5</v>
      </c>
      <c r="K945" s="2">
        <v>1863</v>
      </c>
      <c r="L945" s="2">
        <v>18018</v>
      </c>
      <c r="M945" s="2">
        <v>802</v>
      </c>
      <c r="N945" s="14" t="s">
        <v>47</v>
      </c>
      <c r="O945" s="14">
        <v>4</v>
      </c>
      <c r="V945" s="2"/>
    </row>
    <row r="946" spans="1:22">
      <c r="A946">
        <v>11005</v>
      </c>
      <c r="B946" s="7" t="s">
        <v>140</v>
      </c>
      <c r="C946" s="14" t="s">
        <v>111</v>
      </c>
      <c r="D946" s="14" t="s">
        <v>45</v>
      </c>
      <c r="E946" s="14" t="s">
        <v>56</v>
      </c>
      <c r="F946" s="14" t="s">
        <v>40</v>
      </c>
      <c r="G946" s="14" t="s">
        <v>72</v>
      </c>
      <c r="H946" s="14">
        <v>4</v>
      </c>
      <c r="I946" s="2">
        <v>1640</v>
      </c>
      <c r="J946" s="3">
        <v>0</v>
      </c>
      <c r="K946" s="2">
        <v>620.5</v>
      </c>
      <c r="L946" s="2">
        <v>8896</v>
      </c>
      <c r="M946" s="2">
        <v>3980</v>
      </c>
      <c r="N946" s="14" t="s">
        <v>47</v>
      </c>
      <c r="O946" s="14">
        <v>2</v>
      </c>
      <c r="V946" s="2"/>
    </row>
    <row r="947" spans="1:22">
      <c r="A947">
        <v>11006</v>
      </c>
      <c r="B947" s="7" t="s">
        <v>224</v>
      </c>
      <c r="C947" s="14" t="s">
        <v>135</v>
      </c>
      <c r="D947" s="14" t="s">
        <v>36</v>
      </c>
      <c r="E947" s="14" t="s">
        <v>56</v>
      </c>
      <c r="F947" s="14" t="s">
        <v>117</v>
      </c>
      <c r="G947" s="14" t="s">
        <v>66</v>
      </c>
      <c r="H947" s="14">
        <v>6</v>
      </c>
      <c r="I947" s="2">
        <v>1760</v>
      </c>
      <c r="J947" s="3">
        <v>0</v>
      </c>
      <c r="K947" s="2">
        <v>10718.5</v>
      </c>
      <c r="L947" s="2">
        <v>2398</v>
      </c>
      <c r="M947" s="2">
        <v>3960</v>
      </c>
      <c r="N947" s="14" t="s">
        <v>47</v>
      </c>
      <c r="O947" s="14">
        <v>3</v>
      </c>
      <c r="V947" s="2"/>
    </row>
    <row r="948" spans="1:22">
      <c r="A948">
        <v>11007</v>
      </c>
      <c r="B948" s="7" t="s">
        <v>404</v>
      </c>
      <c r="C948" s="14" t="s">
        <v>141</v>
      </c>
      <c r="D948" s="14" t="s">
        <v>45</v>
      </c>
      <c r="E948" s="14" t="s">
        <v>61</v>
      </c>
      <c r="F948" s="14" t="s">
        <v>117</v>
      </c>
      <c r="G948" s="14" t="s">
        <v>70</v>
      </c>
      <c r="H948" s="14">
        <v>9</v>
      </c>
      <c r="I948" s="2">
        <v>240</v>
      </c>
      <c r="J948" s="3">
        <v>5</v>
      </c>
      <c r="K948" s="2">
        <v>1100</v>
      </c>
      <c r="L948" s="2">
        <v>414</v>
      </c>
      <c r="M948" s="2">
        <v>5549</v>
      </c>
      <c r="N948" s="14" t="s">
        <v>38</v>
      </c>
      <c r="O948" s="14">
        <v>3</v>
      </c>
      <c r="V948" s="2"/>
    </row>
    <row r="949" spans="1:22">
      <c r="A949">
        <v>11008</v>
      </c>
      <c r="B949" s="7" t="s">
        <v>153</v>
      </c>
      <c r="C949" s="14" t="s">
        <v>116</v>
      </c>
      <c r="D949" s="14" t="s">
        <v>39</v>
      </c>
      <c r="E949" s="14" t="s">
        <v>58</v>
      </c>
      <c r="F949" s="14" t="s">
        <v>143</v>
      </c>
      <c r="G949" s="14" t="s">
        <v>66</v>
      </c>
      <c r="H949" s="14">
        <v>3</v>
      </c>
      <c r="I949" s="2">
        <v>1600</v>
      </c>
      <c r="J949" s="3">
        <v>5</v>
      </c>
      <c r="K949" s="2">
        <v>17680</v>
      </c>
      <c r="L949" s="2">
        <v>1215</v>
      </c>
      <c r="M949" s="2">
        <v>731</v>
      </c>
      <c r="N949" s="14" t="s">
        <v>47</v>
      </c>
      <c r="O949" s="14">
        <v>1</v>
      </c>
      <c r="V949" s="2"/>
    </row>
    <row r="950" spans="1:22">
      <c r="A950">
        <v>11009</v>
      </c>
      <c r="B950" s="7" t="s">
        <v>181</v>
      </c>
      <c r="C950" s="14" t="s">
        <v>111</v>
      </c>
      <c r="D950" s="14" t="s">
        <v>36</v>
      </c>
      <c r="E950" s="14" t="s">
        <v>56</v>
      </c>
      <c r="F950" s="14" t="s">
        <v>51</v>
      </c>
      <c r="G950" s="14" t="s">
        <v>70</v>
      </c>
      <c r="H950" s="14">
        <v>12</v>
      </c>
      <c r="I950" s="2">
        <v>1990</v>
      </c>
      <c r="J950" s="3">
        <v>20</v>
      </c>
      <c r="K950" s="2">
        <v>3655</v>
      </c>
      <c r="L950" s="2">
        <v>5011</v>
      </c>
      <c r="M950" s="2">
        <v>556</v>
      </c>
      <c r="N950" s="14" t="s">
        <v>38</v>
      </c>
      <c r="O950" s="14">
        <v>5</v>
      </c>
      <c r="V950" s="2"/>
    </row>
    <row r="951" spans="1:22">
      <c r="A951">
        <v>11010</v>
      </c>
      <c r="B951" s="7" t="s">
        <v>134</v>
      </c>
      <c r="C951" s="14" t="s">
        <v>141</v>
      </c>
      <c r="D951" s="14" t="s">
        <v>42</v>
      </c>
      <c r="E951" s="14" t="s">
        <v>56</v>
      </c>
      <c r="F951" s="14" t="s">
        <v>117</v>
      </c>
      <c r="G951" s="14" t="s">
        <v>72</v>
      </c>
      <c r="H951" s="14">
        <v>11</v>
      </c>
      <c r="I951" s="2">
        <v>1660</v>
      </c>
      <c r="J951" s="3">
        <v>20</v>
      </c>
      <c r="K951" s="2">
        <v>12480</v>
      </c>
      <c r="L951" s="2">
        <v>15723</v>
      </c>
      <c r="M951" s="2">
        <v>2253</v>
      </c>
      <c r="N951" s="14" t="s">
        <v>47</v>
      </c>
      <c r="O951" s="14">
        <v>1</v>
      </c>
      <c r="V951" s="2"/>
    </row>
    <row r="952" spans="1:22">
      <c r="A952">
        <v>11011</v>
      </c>
      <c r="B952" s="7" t="s">
        <v>158</v>
      </c>
      <c r="C952" s="14" t="s">
        <v>125</v>
      </c>
      <c r="D952" s="14" t="s">
        <v>45</v>
      </c>
      <c r="E952" s="14" t="s">
        <v>56</v>
      </c>
      <c r="F952" s="14" t="s">
        <v>50</v>
      </c>
      <c r="G952" s="14" t="s">
        <v>70</v>
      </c>
      <c r="H952" s="14">
        <v>14</v>
      </c>
      <c r="I952" s="2">
        <v>1000</v>
      </c>
      <c r="J952" s="3">
        <v>20</v>
      </c>
      <c r="K952" s="2">
        <v>3655</v>
      </c>
      <c r="L952" s="2">
        <v>8500</v>
      </c>
      <c r="M952" s="2">
        <v>988</v>
      </c>
      <c r="N952" s="14" t="s">
        <v>38</v>
      </c>
      <c r="O952" s="14">
        <v>2</v>
      </c>
      <c r="V952" s="2"/>
    </row>
    <row r="953" spans="1:22">
      <c r="A953">
        <v>11012</v>
      </c>
      <c r="B953" s="7" t="s">
        <v>219</v>
      </c>
      <c r="C953" s="14" t="s">
        <v>147</v>
      </c>
      <c r="D953" s="14" t="s">
        <v>39</v>
      </c>
      <c r="E953" s="14" t="s">
        <v>56</v>
      </c>
      <c r="F953" s="14" t="s">
        <v>117</v>
      </c>
      <c r="G953" s="14" t="s">
        <v>68</v>
      </c>
      <c r="H953" s="14">
        <v>8</v>
      </c>
      <c r="I953" s="2">
        <v>730</v>
      </c>
      <c r="J953" s="3">
        <v>0</v>
      </c>
      <c r="K953" s="2">
        <v>2700</v>
      </c>
      <c r="L953" s="2">
        <v>12403</v>
      </c>
      <c r="M953" s="2">
        <v>986</v>
      </c>
      <c r="N953" s="14" t="s">
        <v>38</v>
      </c>
      <c r="O953" s="14">
        <v>4</v>
      </c>
      <c r="V953" s="2"/>
    </row>
    <row r="954" spans="1:22">
      <c r="A954">
        <v>11013</v>
      </c>
      <c r="B954" s="7" t="s">
        <v>271</v>
      </c>
      <c r="C954" s="14" t="s">
        <v>147</v>
      </c>
      <c r="D954" s="14" t="s">
        <v>45</v>
      </c>
      <c r="E954" s="14" t="s">
        <v>61</v>
      </c>
      <c r="F954" s="14" t="s">
        <v>150</v>
      </c>
      <c r="G954" s="14" t="s">
        <v>68</v>
      </c>
      <c r="H954" s="14">
        <v>6</v>
      </c>
      <c r="I954" s="2">
        <v>1860</v>
      </c>
      <c r="J954" s="3">
        <v>10</v>
      </c>
      <c r="K954" s="2">
        <v>22400</v>
      </c>
      <c r="L954" s="2">
        <v>9484</v>
      </c>
      <c r="M954" s="2">
        <v>1671</v>
      </c>
      <c r="N954" s="14" t="s">
        <v>44</v>
      </c>
      <c r="O954" s="14">
        <v>1</v>
      </c>
      <c r="V954" s="2"/>
    </row>
    <row r="955" spans="1:22">
      <c r="A955">
        <v>11015</v>
      </c>
      <c r="B955" s="7" t="s">
        <v>156</v>
      </c>
      <c r="C955" s="14" t="s">
        <v>147</v>
      </c>
      <c r="D955" s="14" t="s">
        <v>39</v>
      </c>
      <c r="E955" s="14" t="s">
        <v>58</v>
      </c>
      <c r="F955" s="14" t="s">
        <v>46</v>
      </c>
      <c r="G955" s="14" t="s">
        <v>74</v>
      </c>
      <c r="H955" s="14">
        <v>8</v>
      </c>
      <c r="I955" s="2">
        <v>620</v>
      </c>
      <c r="J955" s="3">
        <v>15</v>
      </c>
      <c r="K955" s="2">
        <v>16796</v>
      </c>
      <c r="L955" s="2">
        <v>3419</v>
      </c>
      <c r="M955" s="2">
        <v>3844</v>
      </c>
      <c r="N955" s="14" t="s">
        <v>47</v>
      </c>
      <c r="O955" s="14">
        <v>2</v>
      </c>
      <c r="V955" s="2"/>
    </row>
    <row r="956" spans="1:22">
      <c r="A956">
        <v>11016</v>
      </c>
      <c r="B956" s="7" t="s">
        <v>278</v>
      </c>
      <c r="C956" s="14" t="s">
        <v>128</v>
      </c>
      <c r="D956" s="14" t="s">
        <v>45</v>
      </c>
      <c r="E956" s="14" t="s">
        <v>58</v>
      </c>
      <c r="F956" s="14" t="s">
        <v>49</v>
      </c>
      <c r="G956" s="14" t="s">
        <v>63</v>
      </c>
      <c r="H956" s="14">
        <v>7</v>
      </c>
      <c r="I956" s="2">
        <v>250</v>
      </c>
      <c r="J956" s="3">
        <v>10</v>
      </c>
      <c r="K956" s="2">
        <v>11360</v>
      </c>
      <c r="L956" s="2">
        <v>9467</v>
      </c>
      <c r="M956" s="2">
        <v>998</v>
      </c>
      <c r="N956" s="14" t="s">
        <v>44</v>
      </c>
      <c r="O956" s="14">
        <v>4</v>
      </c>
      <c r="V956" s="2"/>
    </row>
    <row r="957" spans="1:22">
      <c r="C957" s="14"/>
      <c r="D957" s="14"/>
      <c r="E957" s="14"/>
      <c r="F957" s="14"/>
      <c r="G957" s="14"/>
      <c r="H957" s="14"/>
      <c r="N957" s="14"/>
    </row>
    <row r="958" spans="1:22">
      <c r="C958" s="14"/>
      <c r="D958" s="14"/>
      <c r="E958" s="14"/>
      <c r="F958" s="14"/>
      <c r="G958" s="14"/>
      <c r="H958" s="14"/>
      <c r="N958" s="14"/>
    </row>
    <row r="980" spans="3:14">
      <c r="C980" s="14"/>
      <c r="D980" s="14"/>
      <c r="E980" s="14"/>
      <c r="F980" s="14"/>
      <c r="G980" s="14"/>
      <c r="H980" s="14"/>
      <c r="N980" s="14"/>
    </row>
    <row r="981" spans="3:14">
      <c r="C981" s="14"/>
      <c r="D981" s="14"/>
      <c r="E981" s="14"/>
      <c r="F981" s="14"/>
      <c r="G981" s="14"/>
      <c r="H981" s="14"/>
      <c r="N981" s="14"/>
    </row>
    <row r="982" spans="3:14">
      <c r="C982" s="14"/>
      <c r="D982" s="14"/>
      <c r="E982" s="14"/>
      <c r="F982" s="14"/>
      <c r="G982" s="14"/>
      <c r="H982" s="14"/>
      <c r="N982" s="14"/>
    </row>
    <row r="983" spans="3:14">
      <c r="C983" s="14"/>
      <c r="D983" s="14"/>
      <c r="E983" s="14"/>
      <c r="F983" s="14"/>
      <c r="G983" s="14"/>
      <c r="H983" s="14"/>
      <c r="N983" s="14"/>
    </row>
    <row r="984" spans="3:14">
      <c r="C984" s="14"/>
      <c r="D984" s="14"/>
      <c r="E984" s="14"/>
      <c r="F984" s="14"/>
      <c r="G984" s="14"/>
      <c r="H984" s="14"/>
      <c r="N984" s="14"/>
    </row>
    <row r="985" spans="3:14">
      <c r="C985" s="14"/>
      <c r="D985" s="14"/>
      <c r="E985" s="14"/>
      <c r="F985" s="14"/>
      <c r="G985" s="14"/>
      <c r="H985" s="14"/>
      <c r="N985" s="14"/>
    </row>
    <row r="986" spans="3:14">
      <c r="C986" s="14"/>
      <c r="D986" s="14"/>
      <c r="E986" s="14"/>
      <c r="F986" s="14"/>
      <c r="G986" s="14"/>
      <c r="H986" s="14"/>
      <c r="N986" s="14"/>
    </row>
    <row r="987" spans="3:14">
      <c r="C987" s="14"/>
      <c r="D987" s="14"/>
      <c r="E987" s="14"/>
      <c r="F987" s="14"/>
      <c r="G987" s="14"/>
      <c r="H987" s="14"/>
      <c r="N987" s="14"/>
    </row>
    <row r="988" spans="3:14">
      <c r="C988" s="14"/>
      <c r="D988" s="14"/>
      <c r="E988" s="14"/>
      <c r="F988" s="14"/>
      <c r="G988" s="14"/>
      <c r="H988" s="14"/>
      <c r="N988" s="14"/>
    </row>
    <row r="989" spans="3:14">
      <c r="C989" s="14"/>
      <c r="D989" s="14"/>
      <c r="E989" s="14"/>
      <c r="F989" s="14"/>
      <c r="G989" s="14"/>
      <c r="H989" s="14"/>
      <c r="N989" s="14"/>
    </row>
    <row r="990" spans="3:14">
      <c r="C990" s="14"/>
      <c r="D990" s="14"/>
      <c r="E990" s="14"/>
      <c r="F990" s="14"/>
      <c r="G990" s="14"/>
      <c r="H990" s="14"/>
      <c r="N990" s="14"/>
    </row>
    <row r="991" spans="3:14">
      <c r="C991" s="14"/>
      <c r="D991" s="14"/>
      <c r="E991" s="14"/>
      <c r="F991" s="14"/>
      <c r="G991" s="14"/>
      <c r="H991" s="14"/>
      <c r="N991" s="14"/>
    </row>
    <row r="992" spans="3:14">
      <c r="C992" s="14"/>
      <c r="D992" s="14"/>
      <c r="E992" s="14"/>
      <c r="F992" s="14"/>
      <c r="G992" s="14"/>
      <c r="H992" s="14"/>
      <c r="N992" s="14"/>
    </row>
    <row r="993" spans="3:14">
      <c r="C993" s="14"/>
      <c r="D993" s="14"/>
      <c r="E993" s="14"/>
      <c r="F993" s="14"/>
      <c r="G993" s="14"/>
      <c r="H993" s="14"/>
      <c r="N993" s="14"/>
    </row>
    <row r="994" spans="3:14">
      <c r="C994" s="14"/>
      <c r="D994" s="14"/>
      <c r="E994" s="14"/>
      <c r="F994" s="14"/>
      <c r="G994" s="14"/>
      <c r="H994" s="14"/>
      <c r="N994" s="14"/>
    </row>
    <row r="995" spans="3:14">
      <c r="C995" s="14"/>
      <c r="D995" s="14"/>
      <c r="E995" s="14"/>
      <c r="F995" s="14"/>
      <c r="G995" s="14"/>
      <c r="H995" s="14"/>
      <c r="N995" s="14"/>
    </row>
    <row r="996" spans="3:14">
      <c r="C996" s="14"/>
      <c r="D996" s="14"/>
      <c r="E996" s="14"/>
      <c r="F996" s="14"/>
      <c r="G996" s="14"/>
      <c r="H996" s="14"/>
      <c r="N996" s="14"/>
    </row>
    <row r="997" spans="3:14">
      <c r="C997" s="14"/>
      <c r="D997" s="14"/>
      <c r="E997" s="14"/>
      <c r="F997" s="14"/>
      <c r="G997" s="14"/>
      <c r="H997" s="14"/>
      <c r="N997" s="14"/>
    </row>
    <row r="998" spans="3:14">
      <c r="C998" s="14"/>
      <c r="D998" s="14"/>
      <c r="E998" s="14"/>
      <c r="F998" s="14"/>
      <c r="G998" s="14"/>
      <c r="H998" s="14"/>
      <c r="N998" s="14"/>
    </row>
    <row r="999" spans="3:14">
      <c r="C999" s="14"/>
      <c r="D999" s="14"/>
      <c r="E999" s="14"/>
      <c r="F999" s="14"/>
      <c r="G999" s="14"/>
      <c r="H999" s="14"/>
      <c r="N999" s="14"/>
    </row>
    <row r="1000" spans="3:14">
      <c r="C1000" s="14"/>
      <c r="D1000" s="14"/>
      <c r="E1000" s="14"/>
      <c r="F1000" s="14"/>
      <c r="G1000" s="14"/>
      <c r="H1000" s="14"/>
      <c r="N1000" s="14"/>
    </row>
    <row r="1001" spans="3:14">
      <c r="C1001" s="14"/>
      <c r="D1001" s="14"/>
      <c r="E1001" s="14"/>
      <c r="F1001" s="14"/>
      <c r="G1001" s="14"/>
      <c r="H1001" s="14"/>
      <c r="N1001" s="14"/>
    </row>
    <row r="1002" spans="3:14">
      <c r="C1002" s="14"/>
      <c r="D1002" s="14"/>
      <c r="E1002" s="14"/>
      <c r="F1002" s="14"/>
      <c r="G1002" s="14"/>
      <c r="H1002" s="14"/>
      <c r="N1002" s="14"/>
    </row>
    <row r="1003" spans="3:14">
      <c r="C1003" s="14"/>
      <c r="D1003" s="14"/>
      <c r="E1003" s="14"/>
      <c r="F1003" s="14"/>
      <c r="G1003" s="14"/>
      <c r="H1003" s="14"/>
      <c r="N1003" s="14"/>
    </row>
    <row r="1004" spans="3:14">
      <c r="C1004" s="14"/>
      <c r="D1004" s="14"/>
      <c r="E1004" s="14"/>
      <c r="F1004" s="14"/>
      <c r="G1004" s="14"/>
      <c r="H1004" s="14"/>
      <c r="N1004" s="14"/>
    </row>
    <row r="1005" spans="3:14">
      <c r="C1005" s="14"/>
      <c r="D1005" s="14"/>
      <c r="E1005" s="14"/>
      <c r="F1005" s="14"/>
      <c r="G1005" s="14"/>
      <c r="H1005" s="14"/>
      <c r="N1005" s="14"/>
    </row>
    <row r="1006" spans="3:14">
      <c r="C1006" s="14"/>
      <c r="D1006" s="14"/>
      <c r="E1006" s="14"/>
      <c r="F1006" s="14"/>
      <c r="G1006" s="14"/>
      <c r="H1006" s="14"/>
      <c r="N1006" s="14"/>
    </row>
    <row r="1007" spans="3:14">
      <c r="C1007" s="14"/>
      <c r="D1007" s="14"/>
      <c r="E1007" s="14"/>
      <c r="F1007" s="14"/>
      <c r="G1007" s="14"/>
      <c r="H1007" s="14"/>
      <c r="N1007" s="14"/>
    </row>
    <row r="1008" spans="3:14">
      <c r="C1008" s="14"/>
      <c r="D1008" s="14"/>
      <c r="E1008" s="14"/>
      <c r="F1008" s="14"/>
      <c r="G1008" s="14"/>
      <c r="H1008" s="14"/>
      <c r="N1008" s="14"/>
    </row>
    <row r="1009" spans="3:14">
      <c r="C1009" s="14"/>
      <c r="D1009" s="14"/>
      <c r="E1009" s="14"/>
      <c r="F1009" s="14"/>
      <c r="G1009" s="14"/>
      <c r="H1009" s="14"/>
      <c r="N1009" s="14"/>
    </row>
    <row r="1010" spans="3:14">
      <c r="C1010" s="14"/>
      <c r="D1010" s="14"/>
      <c r="E1010" s="14"/>
      <c r="F1010" s="14"/>
      <c r="G1010" s="14"/>
      <c r="H1010" s="14"/>
      <c r="N1010" s="14"/>
    </row>
    <row r="1011" spans="3:14">
      <c r="C1011" s="14"/>
      <c r="D1011" s="14"/>
      <c r="E1011" s="14"/>
      <c r="F1011" s="14"/>
      <c r="G1011" s="14"/>
      <c r="H1011" s="14"/>
      <c r="N1011" s="14"/>
    </row>
    <row r="1012" spans="3:14">
      <c r="C1012" s="14"/>
      <c r="D1012" s="14"/>
      <c r="E1012" s="14"/>
      <c r="F1012" s="14"/>
      <c r="G1012" s="14"/>
      <c r="H1012" s="14"/>
      <c r="N1012" s="14"/>
    </row>
    <row r="1013" spans="3:14">
      <c r="C1013" s="14"/>
      <c r="D1013" s="14"/>
      <c r="E1013" s="14"/>
      <c r="F1013" s="14"/>
      <c r="G1013" s="14"/>
      <c r="H1013" s="14"/>
      <c r="N1013" s="14"/>
    </row>
    <row r="1014" spans="3:14">
      <c r="C1014" s="14"/>
      <c r="D1014" s="14"/>
      <c r="E1014" s="14"/>
      <c r="F1014" s="14"/>
      <c r="G1014" s="14"/>
      <c r="H1014" s="14"/>
      <c r="N1014" s="14"/>
    </row>
    <row r="1015" spans="3:14">
      <c r="C1015" s="14"/>
      <c r="D1015" s="14"/>
      <c r="E1015" s="14"/>
      <c r="F1015" s="14"/>
      <c r="G1015" s="14"/>
      <c r="H1015" s="14"/>
      <c r="N1015" s="14"/>
    </row>
    <row r="1016" spans="3:14">
      <c r="C1016" s="14"/>
      <c r="D1016" s="14"/>
      <c r="E1016" s="14"/>
      <c r="F1016" s="14"/>
      <c r="G1016" s="14"/>
      <c r="H1016" s="14"/>
      <c r="N1016" s="14"/>
    </row>
    <row r="1017" spans="3:14">
      <c r="C1017" s="14"/>
      <c r="D1017" s="14"/>
      <c r="E1017" s="14"/>
      <c r="F1017" s="14"/>
      <c r="G1017" s="14"/>
      <c r="H1017" s="14"/>
      <c r="N1017" s="14"/>
    </row>
    <row r="1018" spans="3:14">
      <c r="C1018" s="14"/>
      <c r="D1018" s="14"/>
      <c r="E1018" s="14"/>
      <c r="F1018" s="14"/>
      <c r="G1018" s="14"/>
      <c r="H1018" s="14"/>
      <c r="N1018" s="14"/>
    </row>
    <row r="1019" spans="3:14">
      <c r="C1019" s="14"/>
      <c r="D1019" s="14"/>
      <c r="E1019" s="14"/>
      <c r="F1019" s="14"/>
      <c r="G1019" s="14"/>
      <c r="H1019" s="14"/>
      <c r="N1019" s="14"/>
    </row>
    <row r="1020" spans="3:14">
      <c r="C1020" s="14"/>
      <c r="D1020" s="14"/>
      <c r="E1020" s="14"/>
      <c r="F1020" s="14"/>
      <c r="G1020" s="14"/>
      <c r="H1020" s="14"/>
      <c r="N1020" s="14"/>
    </row>
    <row r="1021" spans="3:14">
      <c r="C1021" s="14"/>
      <c r="D1021" s="14"/>
      <c r="E1021" s="14"/>
      <c r="F1021" s="14"/>
      <c r="G1021" s="14"/>
      <c r="H1021" s="14"/>
      <c r="N1021" s="14"/>
    </row>
    <row r="1022" spans="3:14">
      <c r="C1022" s="14"/>
      <c r="D1022" s="14"/>
      <c r="E1022" s="14"/>
      <c r="F1022" s="14"/>
      <c r="G1022" s="14"/>
      <c r="H1022" s="14"/>
      <c r="N1022" s="14"/>
    </row>
    <row r="1023" spans="3:14">
      <c r="C1023" s="14"/>
      <c r="D1023" s="14"/>
      <c r="E1023" s="14"/>
      <c r="F1023" s="14"/>
      <c r="G1023" s="14"/>
      <c r="H1023" s="14"/>
      <c r="N1023" s="14"/>
    </row>
    <row r="1024" spans="3:14">
      <c r="C1024" s="14"/>
      <c r="D1024" s="14"/>
      <c r="E1024" s="14"/>
      <c r="F1024" s="14"/>
      <c r="G1024" s="14"/>
      <c r="H1024" s="14"/>
      <c r="N1024" s="14"/>
    </row>
    <row r="1025" spans="3:14">
      <c r="C1025" s="14"/>
      <c r="D1025" s="14"/>
      <c r="E1025" s="14"/>
      <c r="F1025" s="14"/>
      <c r="G1025" s="14"/>
      <c r="H1025" s="14"/>
      <c r="N1025" s="14"/>
    </row>
    <row r="1026" spans="3:14">
      <c r="C1026" s="14"/>
      <c r="D1026" s="14"/>
      <c r="E1026" s="14"/>
      <c r="F1026" s="14"/>
      <c r="G1026" s="14"/>
      <c r="H1026" s="14"/>
      <c r="N1026" s="14"/>
    </row>
    <row r="1027" spans="3:14">
      <c r="C1027" s="14"/>
      <c r="D1027" s="14"/>
      <c r="E1027" s="14"/>
      <c r="F1027" s="14"/>
      <c r="G1027" s="14"/>
      <c r="H1027" s="14"/>
      <c r="N1027" s="14"/>
    </row>
    <row r="1028" spans="3:14">
      <c r="C1028" s="14"/>
      <c r="D1028" s="14"/>
      <c r="E1028" s="14"/>
      <c r="F1028" s="14"/>
      <c r="G1028" s="14"/>
      <c r="H1028" s="14"/>
      <c r="N1028" s="14"/>
    </row>
    <row r="1029" spans="3:14">
      <c r="C1029" s="14"/>
      <c r="D1029" s="14"/>
      <c r="E1029" s="14"/>
      <c r="F1029" s="14"/>
      <c r="G1029" s="14"/>
      <c r="H1029" s="14"/>
      <c r="N1029" s="14"/>
    </row>
    <row r="1030" spans="3:14">
      <c r="C1030" s="14"/>
      <c r="D1030" s="14"/>
      <c r="E1030" s="14"/>
      <c r="F1030" s="14"/>
      <c r="G1030" s="14"/>
      <c r="H1030" s="14"/>
      <c r="N1030" s="14"/>
    </row>
    <row r="1031" spans="3:14">
      <c r="C1031" s="14"/>
      <c r="D1031" s="14"/>
      <c r="E1031" s="14"/>
      <c r="F1031" s="14"/>
      <c r="G1031" s="14"/>
      <c r="H1031" s="14"/>
      <c r="N1031" s="14"/>
    </row>
    <row r="1032" spans="3:14">
      <c r="C1032" s="14"/>
      <c r="D1032" s="14"/>
      <c r="E1032" s="14"/>
      <c r="F1032" s="14"/>
      <c r="G1032" s="14"/>
      <c r="H1032" s="14"/>
      <c r="N1032" s="14"/>
    </row>
    <row r="1033" spans="3:14">
      <c r="C1033" s="14"/>
      <c r="D1033" s="14"/>
      <c r="E1033" s="14"/>
      <c r="F1033" s="14"/>
      <c r="G1033" s="14"/>
      <c r="H1033" s="14"/>
      <c r="N1033" s="14"/>
    </row>
    <row r="1034" spans="3:14">
      <c r="C1034" s="14"/>
      <c r="D1034" s="14"/>
      <c r="E1034" s="14"/>
      <c r="F1034" s="14"/>
      <c r="G1034" s="14"/>
      <c r="H1034" s="14"/>
      <c r="N1034" s="14"/>
    </row>
    <row r="1035" spans="3:14">
      <c r="C1035" s="14"/>
      <c r="D1035" s="14"/>
      <c r="E1035" s="14"/>
      <c r="F1035" s="14"/>
      <c r="G1035" s="14"/>
      <c r="H1035" s="14"/>
      <c r="N1035" s="14"/>
    </row>
    <row r="1036" spans="3:14">
      <c r="C1036" s="14"/>
      <c r="D1036" s="14"/>
      <c r="E1036" s="14"/>
      <c r="F1036" s="14"/>
      <c r="G1036" s="14"/>
      <c r="H1036" s="14"/>
      <c r="N1036" s="14"/>
    </row>
    <row r="1037" spans="3:14">
      <c r="C1037" s="14"/>
      <c r="D1037" s="14"/>
      <c r="E1037" s="14"/>
      <c r="F1037" s="14"/>
      <c r="G1037" s="14"/>
      <c r="H1037" s="14"/>
      <c r="N1037" s="14"/>
    </row>
    <row r="1038" spans="3:14">
      <c r="C1038" s="14"/>
      <c r="D1038" s="14"/>
      <c r="E1038" s="14"/>
      <c r="F1038" s="14"/>
      <c r="G1038" s="14"/>
      <c r="H1038" s="14"/>
      <c r="N1038" s="14"/>
    </row>
    <row r="1039" spans="3:14">
      <c r="C1039" s="14"/>
      <c r="D1039" s="14"/>
      <c r="E1039" s="14"/>
      <c r="F1039" s="14"/>
      <c r="G1039" s="14"/>
      <c r="H1039" s="14"/>
      <c r="N1039" s="14"/>
    </row>
    <row r="1040" spans="3:14">
      <c r="C1040" s="14"/>
      <c r="D1040" s="14"/>
      <c r="E1040" s="14"/>
      <c r="F1040" s="14"/>
      <c r="G1040" s="14"/>
      <c r="H1040" s="14"/>
      <c r="N1040" s="14"/>
    </row>
    <row r="1041" spans="3:14">
      <c r="C1041" s="14"/>
      <c r="D1041" s="14"/>
      <c r="E1041" s="14"/>
      <c r="F1041" s="14"/>
      <c r="G1041" s="14"/>
      <c r="H1041" s="14"/>
      <c r="N1041" s="14"/>
    </row>
    <row r="1042" spans="3:14">
      <c r="C1042" s="14"/>
      <c r="D1042" s="14"/>
      <c r="E1042" s="14"/>
      <c r="F1042" s="14"/>
      <c r="G1042" s="14"/>
      <c r="H1042" s="14"/>
      <c r="N1042" s="14"/>
    </row>
    <row r="1043" spans="3:14">
      <c r="C1043" s="14"/>
      <c r="D1043" s="14"/>
      <c r="E1043" s="14"/>
      <c r="F1043" s="14"/>
      <c r="G1043" s="14"/>
      <c r="H1043" s="14"/>
      <c r="N1043" s="14"/>
    </row>
    <row r="1044" spans="3:14">
      <c r="C1044" s="14"/>
      <c r="D1044" s="14"/>
      <c r="E1044" s="14"/>
      <c r="F1044" s="14"/>
      <c r="G1044" s="14"/>
      <c r="H1044" s="14"/>
      <c r="N1044" s="14"/>
    </row>
    <row r="1045" spans="3:14">
      <c r="C1045" s="14"/>
      <c r="D1045" s="14"/>
      <c r="E1045" s="14"/>
      <c r="F1045" s="14"/>
      <c r="G1045" s="14"/>
      <c r="H1045" s="14"/>
      <c r="N1045" s="14"/>
    </row>
    <row r="1046" spans="3:14">
      <c r="C1046" s="14"/>
      <c r="D1046" s="14"/>
      <c r="E1046" s="14"/>
      <c r="F1046" s="14"/>
      <c r="G1046" s="14"/>
      <c r="H1046" s="14"/>
      <c r="N1046" s="14"/>
    </row>
    <row r="1047" spans="3:14">
      <c r="C1047" s="14"/>
      <c r="D1047" s="14"/>
      <c r="E1047" s="14"/>
      <c r="F1047" s="14"/>
      <c r="G1047" s="14"/>
      <c r="H1047" s="14"/>
      <c r="N1047" s="14"/>
    </row>
    <row r="1048" spans="3:14">
      <c r="C1048" s="14"/>
      <c r="D1048" s="14"/>
      <c r="E1048" s="14"/>
      <c r="F1048" s="14"/>
      <c r="G1048" s="14"/>
      <c r="H1048" s="14"/>
      <c r="N1048" s="14"/>
    </row>
    <row r="1049" spans="3:14">
      <c r="C1049" s="14"/>
      <c r="D1049" s="14"/>
      <c r="E1049" s="14"/>
      <c r="F1049" s="14"/>
      <c r="G1049" s="14"/>
      <c r="H1049" s="14"/>
      <c r="N1049" s="14"/>
    </row>
    <row r="1050" spans="3:14">
      <c r="C1050" s="14"/>
      <c r="D1050" s="14"/>
      <c r="E1050" s="14"/>
      <c r="F1050" s="14"/>
      <c r="G1050" s="14"/>
      <c r="H1050" s="14"/>
      <c r="N1050" s="14"/>
    </row>
    <row r="1051" spans="3:14">
      <c r="C1051" s="14"/>
      <c r="D1051" s="14"/>
      <c r="E1051" s="14"/>
      <c r="F1051" s="14"/>
      <c r="G1051" s="14"/>
      <c r="H1051" s="14"/>
      <c r="N1051" s="14"/>
    </row>
    <row r="1052" spans="3:14">
      <c r="C1052" s="14"/>
      <c r="D1052" s="14"/>
      <c r="E1052" s="14"/>
      <c r="F1052" s="14"/>
      <c r="G1052" s="14"/>
      <c r="H1052" s="14"/>
      <c r="N1052" s="14"/>
    </row>
    <row r="1053" spans="3:14">
      <c r="C1053" s="14"/>
      <c r="D1053" s="14"/>
      <c r="E1053" s="14"/>
      <c r="F1053" s="14"/>
      <c r="G1053" s="14"/>
      <c r="H1053" s="14"/>
      <c r="N1053" s="14"/>
    </row>
    <row r="1054" spans="3:14">
      <c r="C1054" s="14"/>
      <c r="D1054" s="14"/>
      <c r="E1054" s="14"/>
      <c r="F1054" s="14"/>
      <c r="G1054" s="14"/>
      <c r="H1054" s="14"/>
      <c r="N1054" s="14"/>
    </row>
    <row r="1055" spans="3:14">
      <c r="C1055" s="14"/>
      <c r="D1055" s="14"/>
      <c r="E1055" s="14"/>
      <c r="F1055" s="14"/>
      <c r="G1055" s="14"/>
      <c r="H1055" s="14"/>
      <c r="N1055" s="14"/>
    </row>
    <row r="1056" spans="3:14">
      <c r="C1056" s="14"/>
      <c r="D1056" s="14"/>
      <c r="E1056" s="14"/>
      <c r="F1056" s="14"/>
      <c r="G1056" s="14"/>
      <c r="H1056" s="14"/>
      <c r="N1056" s="14"/>
    </row>
    <row r="1057" spans="3:14">
      <c r="C1057" s="14"/>
      <c r="D1057" s="14"/>
      <c r="E1057" s="14"/>
      <c r="F1057" s="14"/>
      <c r="G1057" s="14"/>
      <c r="H1057" s="14"/>
      <c r="N1057" s="14"/>
    </row>
    <row r="1058" spans="3:14">
      <c r="C1058" s="14"/>
      <c r="D1058" s="14"/>
      <c r="E1058" s="14"/>
      <c r="F1058" s="14"/>
      <c r="G1058" s="14"/>
      <c r="H1058" s="14"/>
      <c r="N1058" s="14"/>
    </row>
    <row r="1059" spans="3:14">
      <c r="C1059" s="14"/>
      <c r="D1059" s="14"/>
      <c r="E1059" s="14"/>
      <c r="F1059" s="14"/>
      <c r="G1059" s="14"/>
      <c r="H1059" s="14"/>
      <c r="N1059" s="14"/>
    </row>
    <row r="1060" spans="3:14">
      <c r="C1060" s="14"/>
      <c r="D1060" s="14"/>
      <c r="E1060" s="14"/>
      <c r="F1060" s="14"/>
      <c r="G1060" s="14"/>
      <c r="H1060" s="14"/>
      <c r="N1060" s="1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2026-07-09T17:40:10Z</dcterms:created>
  <dcterms:modified xsi:type="dcterms:W3CDTF">2026-07-12T06:54:15Z</dcterms:modified>
  <cp:category/>
  <cp:contentStatus/>
</cp:coreProperties>
</file>